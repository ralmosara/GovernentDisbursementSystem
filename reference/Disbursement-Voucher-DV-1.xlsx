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AA-FORMS\"/>
    </mc:Choice>
  </mc:AlternateContent>
  <bookViews>
    <workbookView xWindow="240" yWindow="72" windowWidth="11352" windowHeight="6660"/>
  </bookViews>
  <sheets>
    <sheet name="DV" sheetId="5" r:id="rId1"/>
    <sheet name="RCA" sheetId="7" state="hidden" r:id="rId2"/>
  </sheets>
  <definedNames>
    <definedName name="Administrative_Financial_and_Management_Service">DV!$AI$16:$AI$20</definedName>
    <definedName name="dropdown">RCA!$H$3:$H$100</definedName>
    <definedName name="Fakelist">DV!$AI$22:$AI$23</definedName>
    <definedName name="Legal_Service">DV!$AJ$16:$AJ$20</definedName>
    <definedName name="Local_Fiscal_Policy_Service">DV!$AK$16:$AK$20</definedName>
    <definedName name="Local_Government_Units_Operations_Service">DV!$AL$16:$AL$20</definedName>
    <definedName name="_xlnm.Print_Area" localSheetId="0">DV!$A$1:$AF$57</definedName>
    <definedName name="RCA_List">OFFSET(RCA!$H$3,,,COUNTIF(RCA!XFD:XFD,"?*"))</definedName>
    <definedName name="RespCtr">DV!$AI$15:$AL$15</definedName>
  </definedNames>
  <calcPr calcId="152511"/>
</workbook>
</file>

<file path=xl/calcChain.xml><?xml version="1.0" encoding="utf-8"?>
<calcChain xmlns="http://schemas.openxmlformats.org/spreadsheetml/2006/main">
  <c r="V50" i="5" l="1"/>
  <c r="W34" i="5" l="1"/>
  <c r="AB36" i="5"/>
  <c r="R32" i="5" l="1"/>
  <c r="R37" i="5"/>
  <c r="A36" i="5"/>
  <c r="R36" i="5"/>
  <c r="R38" i="5"/>
  <c r="R33" i="5"/>
  <c r="R34" i="5"/>
  <c r="R35" i="5"/>
  <c r="C1136" i="7" l="1"/>
  <c r="C1135" i="7"/>
  <c r="C1134" i="7"/>
  <c r="C1133" i="7"/>
  <c r="C1132" i="7"/>
  <c r="C1131" i="7"/>
  <c r="C1130" i="7"/>
  <c r="C1129" i="7"/>
  <c r="C1128" i="7"/>
  <c r="C1127" i="7"/>
  <c r="C1126" i="7"/>
  <c r="C1125" i="7"/>
  <c r="C1124" i="7"/>
  <c r="C1123" i="7"/>
  <c r="C1122" i="7"/>
  <c r="C1121" i="7"/>
  <c r="C1120" i="7"/>
  <c r="C1119" i="7"/>
  <c r="C1118" i="7"/>
  <c r="C1117" i="7"/>
  <c r="C1116" i="7"/>
  <c r="C1115" i="7"/>
  <c r="C1114" i="7"/>
  <c r="C1113" i="7"/>
  <c r="C1112" i="7"/>
  <c r="C1111" i="7"/>
  <c r="C1110" i="7"/>
  <c r="C1109" i="7"/>
  <c r="C1108" i="7"/>
  <c r="C1107" i="7"/>
  <c r="C1106" i="7"/>
  <c r="C1105" i="7"/>
  <c r="C1104" i="7"/>
  <c r="C1103" i="7"/>
  <c r="C1102" i="7"/>
  <c r="C1101" i="7"/>
  <c r="C1100" i="7"/>
  <c r="C1099" i="7"/>
  <c r="C1098" i="7"/>
  <c r="C1097" i="7"/>
  <c r="C1096" i="7"/>
  <c r="C1095" i="7"/>
  <c r="C1094" i="7"/>
  <c r="C1093" i="7"/>
  <c r="C1092" i="7"/>
  <c r="C1091" i="7"/>
  <c r="C1090" i="7"/>
  <c r="C1089" i="7"/>
  <c r="C1088" i="7"/>
  <c r="C1087" i="7"/>
  <c r="C1086" i="7"/>
  <c r="C1085" i="7"/>
  <c r="C1084" i="7"/>
  <c r="C1083" i="7"/>
  <c r="C1082" i="7"/>
  <c r="C1081" i="7"/>
  <c r="C1080" i="7"/>
  <c r="C1079" i="7"/>
  <c r="C1078" i="7"/>
  <c r="C1077" i="7"/>
  <c r="C1076" i="7"/>
  <c r="C1075" i="7"/>
  <c r="C1074" i="7"/>
  <c r="C1073" i="7"/>
  <c r="C1072" i="7"/>
  <c r="C1071" i="7"/>
  <c r="C1070" i="7"/>
  <c r="C1069" i="7"/>
  <c r="C1068" i="7"/>
  <c r="C1067" i="7"/>
  <c r="C1066" i="7"/>
  <c r="C1065" i="7"/>
  <c r="C1064" i="7"/>
  <c r="C1063" i="7"/>
  <c r="C1062" i="7"/>
  <c r="C1061" i="7"/>
  <c r="C1060" i="7"/>
  <c r="C1059" i="7"/>
  <c r="C1058" i="7"/>
  <c r="C1057" i="7"/>
  <c r="C1056" i="7"/>
  <c r="C1055" i="7"/>
  <c r="C1054" i="7"/>
  <c r="C1053" i="7"/>
  <c r="C1052" i="7"/>
  <c r="C1051" i="7"/>
  <c r="C1050" i="7"/>
  <c r="C1049" i="7"/>
  <c r="C1048" i="7"/>
  <c r="C1047" i="7"/>
  <c r="C1046" i="7"/>
  <c r="C1045" i="7"/>
  <c r="C1044" i="7"/>
  <c r="C1043" i="7"/>
  <c r="C1042" i="7"/>
  <c r="C1041" i="7"/>
  <c r="C1040" i="7"/>
  <c r="C1039" i="7"/>
  <c r="C1038" i="7"/>
  <c r="C1037" i="7"/>
  <c r="C1036" i="7"/>
  <c r="C1035" i="7"/>
  <c r="C1034" i="7"/>
  <c r="C1033" i="7"/>
  <c r="C1032" i="7"/>
  <c r="C1031" i="7"/>
  <c r="C1030" i="7"/>
  <c r="C1029" i="7"/>
  <c r="C1028" i="7"/>
  <c r="C1027" i="7"/>
  <c r="C1026" i="7"/>
  <c r="C1025" i="7"/>
  <c r="C1024" i="7"/>
  <c r="C1023" i="7"/>
  <c r="C1022" i="7"/>
  <c r="C1021" i="7"/>
  <c r="C1020" i="7"/>
  <c r="C1019" i="7"/>
  <c r="C1018" i="7"/>
  <c r="C1017" i="7"/>
  <c r="C1016" i="7"/>
  <c r="C1015" i="7"/>
  <c r="C1014" i="7"/>
  <c r="C1013" i="7"/>
  <c r="C1012" i="7"/>
  <c r="C1011" i="7"/>
  <c r="C1010" i="7"/>
  <c r="C1009" i="7"/>
  <c r="C1008" i="7"/>
  <c r="C1007" i="7"/>
  <c r="C1006" i="7"/>
  <c r="C1005" i="7"/>
  <c r="C1004" i="7"/>
  <c r="C1003" i="7"/>
  <c r="C1002" i="7"/>
  <c r="C1001" i="7"/>
  <c r="C1000" i="7"/>
  <c r="C999" i="7"/>
  <c r="C998" i="7"/>
  <c r="C997" i="7"/>
  <c r="C996" i="7"/>
  <c r="C995" i="7"/>
  <c r="C994" i="7"/>
  <c r="C993" i="7"/>
  <c r="C992" i="7"/>
  <c r="C991" i="7"/>
  <c r="C990" i="7"/>
  <c r="C989" i="7"/>
  <c r="C988" i="7"/>
  <c r="C987" i="7"/>
  <c r="C986" i="7"/>
  <c r="C985" i="7"/>
  <c r="C984" i="7"/>
  <c r="C983" i="7"/>
  <c r="C982" i="7"/>
  <c r="C981" i="7"/>
  <c r="C980" i="7"/>
  <c r="C979" i="7"/>
  <c r="C978" i="7"/>
  <c r="C977" i="7"/>
  <c r="C976" i="7"/>
  <c r="C975" i="7"/>
  <c r="C974" i="7"/>
  <c r="C973" i="7"/>
  <c r="C972" i="7"/>
  <c r="C971" i="7"/>
  <c r="C970" i="7"/>
  <c r="C969" i="7"/>
  <c r="C968" i="7"/>
  <c r="C967" i="7"/>
  <c r="C966" i="7"/>
  <c r="C965" i="7"/>
  <c r="C964" i="7"/>
  <c r="C963" i="7"/>
  <c r="C962" i="7"/>
  <c r="C961" i="7"/>
  <c r="C960" i="7"/>
  <c r="C959" i="7"/>
  <c r="C958" i="7"/>
  <c r="C957" i="7"/>
  <c r="C956" i="7"/>
  <c r="C955" i="7"/>
  <c r="C954" i="7"/>
  <c r="C953" i="7"/>
  <c r="C952" i="7"/>
  <c r="C951" i="7"/>
  <c r="C950" i="7"/>
  <c r="C949" i="7"/>
  <c r="C948" i="7"/>
  <c r="C947" i="7"/>
  <c r="C946" i="7"/>
  <c r="C945" i="7"/>
  <c r="C944" i="7"/>
  <c r="C943" i="7"/>
  <c r="C942" i="7"/>
  <c r="C941" i="7"/>
  <c r="C940" i="7"/>
  <c r="C939" i="7"/>
  <c r="C938" i="7"/>
  <c r="C937" i="7"/>
  <c r="C936" i="7"/>
  <c r="C935" i="7"/>
  <c r="C934" i="7"/>
  <c r="C933" i="7"/>
  <c r="C932" i="7"/>
  <c r="C931" i="7"/>
  <c r="C930" i="7"/>
  <c r="C929" i="7"/>
  <c r="C928" i="7"/>
  <c r="C927" i="7"/>
  <c r="C926" i="7"/>
  <c r="C925" i="7"/>
  <c r="C924" i="7"/>
  <c r="C923" i="7"/>
  <c r="C922" i="7"/>
  <c r="C921" i="7"/>
  <c r="C920" i="7"/>
  <c r="C919" i="7"/>
  <c r="C918" i="7"/>
  <c r="C917" i="7"/>
  <c r="C916" i="7"/>
  <c r="C915" i="7"/>
  <c r="C914" i="7"/>
  <c r="C913" i="7"/>
  <c r="C912" i="7"/>
  <c r="C911" i="7"/>
  <c r="C910" i="7"/>
  <c r="C909" i="7"/>
  <c r="C908" i="7"/>
  <c r="C907" i="7"/>
  <c r="C906" i="7"/>
  <c r="C905" i="7"/>
  <c r="C904" i="7"/>
  <c r="C903" i="7"/>
  <c r="C902" i="7"/>
  <c r="C901" i="7"/>
  <c r="C900" i="7"/>
  <c r="C899" i="7"/>
  <c r="C898" i="7"/>
  <c r="C897" i="7"/>
  <c r="C896" i="7"/>
  <c r="C895" i="7"/>
  <c r="C894" i="7"/>
  <c r="C893" i="7"/>
  <c r="C892" i="7"/>
  <c r="C891" i="7"/>
  <c r="C890" i="7"/>
  <c r="C889" i="7"/>
  <c r="C888" i="7"/>
  <c r="C887" i="7"/>
  <c r="C886" i="7"/>
  <c r="C885" i="7"/>
  <c r="C884" i="7"/>
  <c r="C883" i="7"/>
  <c r="C882" i="7"/>
  <c r="C881" i="7"/>
  <c r="C880" i="7"/>
  <c r="C879" i="7"/>
  <c r="C878" i="7"/>
  <c r="C877" i="7"/>
  <c r="C876" i="7"/>
  <c r="C875" i="7"/>
  <c r="C874" i="7"/>
  <c r="C873" i="7"/>
  <c r="C872" i="7"/>
  <c r="C871" i="7"/>
  <c r="C870" i="7"/>
  <c r="C869" i="7"/>
  <c r="C868" i="7"/>
  <c r="C867" i="7"/>
  <c r="C866" i="7"/>
  <c r="C865" i="7"/>
  <c r="C864" i="7"/>
  <c r="C863" i="7"/>
  <c r="C862" i="7"/>
  <c r="C861" i="7"/>
  <c r="C860" i="7"/>
  <c r="C859" i="7"/>
  <c r="C858" i="7"/>
  <c r="C857" i="7"/>
  <c r="C856" i="7"/>
  <c r="C855" i="7"/>
  <c r="C854" i="7"/>
  <c r="C853" i="7"/>
  <c r="C852" i="7"/>
  <c r="C851" i="7"/>
  <c r="C850" i="7"/>
  <c r="C849" i="7"/>
  <c r="C848" i="7"/>
  <c r="C847" i="7"/>
  <c r="C846" i="7"/>
  <c r="C845" i="7"/>
  <c r="C844" i="7"/>
  <c r="C843" i="7"/>
  <c r="C842" i="7"/>
  <c r="C841" i="7"/>
  <c r="C840" i="7"/>
  <c r="C839" i="7"/>
  <c r="C838" i="7"/>
  <c r="C837" i="7"/>
  <c r="C836" i="7"/>
  <c r="C835" i="7"/>
  <c r="C834" i="7"/>
  <c r="C833" i="7"/>
  <c r="C832" i="7"/>
  <c r="C831" i="7"/>
  <c r="C830" i="7"/>
  <c r="C829" i="7"/>
  <c r="C828" i="7"/>
  <c r="C827" i="7"/>
  <c r="C826" i="7"/>
  <c r="C825" i="7"/>
  <c r="C824" i="7"/>
  <c r="C823" i="7"/>
  <c r="C822" i="7"/>
  <c r="C821" i="7"/>
  <c r="C820" i="7"/>
  <c r="C819" i="7"/>
  <c r="C818" i="7"/>
  <c r="C817" i="7"/>
  <c r="C816" i="7"/>
  <c r="C815" i="7"/>
  <c r="C814" i="7"/>
  <c r="C813" i="7"/>
  <c r="C812" i="7"/>
  <c r="C811" i="7"/>
  <c r="C810" i="7"/>
  <c r="C809" i="7"/>
  <c r="C808" i="7"/>
  <c r="C807" i="7"/>
  <c r="C806" i="7"/>
  <c r="C805" i="7"/>
  <c r="C804" i="7"/>
  <c r="C803" i="7"/>
  <c r="C802" i="7"/>
  <c r="C801" i="7"/>
  <c r="C800" i="7"/>
  <c r="C799" i="7"/>
  <c r="C798" i="7"/>
  <c r="C797" i="7"/>
  <c r="C796" i="7"/>
  <c r="C795" i="7"/>
  <c r="C794" i="7"/>
  <c r="C793" i="7"/>
  <c r="C792" i="7"/>
  <c r="C791" i="7"/>
  <c r="C790" i="7"/>
  <c r="C789" i="7"/>
  <c r="C788" i="7"/>
  <c r="C787" i="7"/>
  <c r="C786" i="7"/>
  <c r="C785" i="7"/>
  <c r="C784" i="7"/>
  <c r="C783" i="7"/>
  <c r="C782" i="7"/>
  <c r="C781" i="7"/>
  <c r="C780" i="7"/>
  <c r="C779" i="7"/>
  <c r="C778" i="7"/>
  <c r="C777" i="7"/>
  <c r="C776" i="7"/>
  <c r="C775" i="7"/>
  <c r="C774" i="7"/>
  <c r="C773" i="7"/>
  <c r="C772" i="7"/>
  <c r="C771" i="7"/>
  <c r="C770" i="7"/>
  <c r="C769" i="7"/>
  <c r="C768" i="7"/>
  <c r="C767" i="7"/>
  <c r="C766" i="7"/>
  <c r="C765" i="7"/>
  <c r="C764" i="7"/>
  <c r="C763" i="7"/>
  <c r="C762" i="7"/>
  <c r="C761" i="7"/>
  <c r="C760" i="7"/>
  <c r="C759" i="7"/>
  <c r="C758" i="7"/>
  <c r="C757" i="7"/>
  <c r="C756" i="7"/>
  <c r="C755" i="7"/>
  <c r="C754" i="7"/>
  <c r="C753" i="7"/>
  <c r="C752" i="7"/>
  <c r="C751" i="7"/>
  <c r="C750" i="7"/>
  <c r="C749" i="7"/>
  <c r="C748" i="7"/>
  <c r="C747" i="7"/>
  <c r="C746" i="7"/>
  <c r="C745" i="7"/>
  <c r="C744" i="7"/>
  <c r="C743" i="7"/>
  <c r="C742" i="7"/>
  <c r="C741" i="7"/>
  <c r="C740" i="7"/>
  <c r="C739" i="7"/>
  <c r="C738" i="7"/>
  <c r="C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C721" i="7"/>
  <c r="C720" i="7"/>
  <c r="C719" i="7"/>
  <c r="C718" i="7"/>
  <c r="C717" i="7"/>
  <c r="C716" i="7"/>
  <c r="C715" i="7"/>
  <c r="C714" i="7"/>
  <c r="C713" i="7"/>
  <c r="C712" i="7"/>
  <c r="C711" i="7"/>
  <c r="C710" i="7"/>
  <c r="C709" i="7"/>
  <c r="C708" i="7"/>
  <c r="C707" i="7"/>
  <c r="C706" i="7"/>
  <c r="C705" i="7"/>
  <c r="C704" i="7"/>
  <c r="C703" i="7"/>
  <c r="C702" i="7"/>
  <c r="C701" i="7"/>
  <c r="C700" i="7"/>
  <c r="C699" i="7"/>
  <c r="C698" i="7"/>
  <c r="C697" i="7"/>
  <c r="C696" i="7"/>
  <c r="C695" i="7"/>
  <c r="C694" i="7"/>
  <c r="C693" i="7"/>
  <c r="C692" i="7"/>
  <c r="C691" i="7"/>
  <c r="C690" i="7"/>
  <c r="C689" i="7"/>
  <c r="C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C672" i="7"/>
  <c r="C671" i="7"/>
  <c r="C670" i="7"/>
  <c r="C669" i="7"/>
  <c r="C668" i="7"/>
  <c r="C667" i="7"/>
  <c r="C666" i="7"/>
  <c r="C665" i="7"/>
  <c r="C664" i="7"/>
  <c r="C663" i="7"/>
  <c r="C662" i="7"/>
  <c r="C661" i="7"/>
  <c r="C660" i="7"/>
  <c r="C659" i="7"/>
  <c r="C658" i="7"/>
  <c r="C657" i="7"/>
  <c r="C656" i="7"/>
  <c r="C655" i="7"/>
  <c r="C654" i="7"/>
  <c r="C653" i="7"/>
  <c r="C652" i="7"/>
  <c r="C651" i="7"/>
  <c r="C650" i="7"/>
  <c r="C649" i="7"/>
  <c r="C648" i="7"/>
  <c r="C647" i="7"/>
  <c r="C646" i="7"/>
  <c r="C645" i="7"/>
  <c r="C644" i="7"/>
  <c r="C643" i="7"/>
  <c r="C642" i="7"/>
  <c r="C641" i="7"/>
  <c r="C640" i="7"/>
  <c r="C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AC5" i="5" l="1"/>
  <c r="AA7" i="5" l="1"/>
  <c r="I1" i="7" l="1"/>
  <c r="E274" i="7" s="1"/>
  <c r="E402" i="7" l="1"/>
  <c r="E93" i="7"/>
  <c r="E125" i="7"/>
  <c r="E157" i="7"/>
  <c r="E189" i="7"/>
  <c r="E218" i="7"/>
  <c r="E234" i="7"/>
  <c r="E250" i="7"/>
  <c r="E266" i="7"/>
  <c r="E282" i="7"/>
  <c r="E298" i="7"/>
  <c r="E314" i="7"/>
  <c r="E330" i="7"/>
  <c r="E346" i="7"/>
  <c r="E362" i="7"/>
  <c r="E378" i="7"/>
  <c r="E394" i="7"/>
  <c r="E410" i="7"/>
  <c r="E426" i="7"/>
  <c r="E442" i="7"/>
  <c r="E458" i="7"/>
  <c r="E109" i="7"/>
  <c r="E173" i="7"/>
  <c r="E226" i="7"/>
  <c r="E258" i="7"/>
  <c r="E290" i="7"/>
  <c r="E322" i="7"/>
  <c r="E354" i="7"/>
  <c r="E386" i="7"/>
  <c r="E418" i="7"/>
  <c r="E450" i="7"/>
  <c r="E141" i="7"/>
  <c r="E242" i="7"/>
  <c r="E306" i="7"/>
  <c r="E370" i="7"/>
  <c r="E434" i="7"/>
  <c r="E466" i="7"/>
  <c r="E338" i="7"/>
  <c r="E205" i="7"/>
  <c r="E3" i="7"/>
  <c r="E4" i="7"/>
  <c r="E5" i="7" s="1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90" i="7"/>
  <c r="E92" i="7"/>
  <c r="E94" i="7"/>
  <c r="E96" i="7"/>
  <c r="E98" i="7"/>
  <c r="E100" i="7"/>
  <c r="E102" i="7"/>
  <c r="E104" i="7"/>
  <c r="E106" i="7"/>
  <c r="E108" i="7"/>
  <c r="E110" i="7"/>
  <c r="E112" i="7"/>
  <c r="E114" i="7"/>
  <c r="E116" i="7"/>
  <c r="E118" i="7"/>
  <c r="E120" i="7"/>
  <c r="E122" i="7"/>
  <c r="E124" i="7"/>
  <c r="E126" i="7"/>
  <c r="E128" i="7"/>
  <c r="E130" i="7"/>
  <c r="E132" i="7"/>
  <c r="E134" i="7"/>
  <c r="E136" i="7"/>
  <c r="E138" i="7"/>
  <c r="E140" i="7"/>
  <c r="E142" i="7"/>
  <c r="E144" i="7"/>
  <c r="E146" i="7"/>
  <c r="E148" i="7"/>
  <c r="E150" i="7"/>
  <c r="E152" i="7"/>
  <c r="E154" i="7"/>
  <c r="E156" i="7"/>
  <c r="E158" i="7"/>
  <c r="E160" i="7"/>
  <c r="E162" i="7"/>
  <c r="E164" i="7"/>
  <c r="E166" i="7"/>
  <c r="E168" i="7"/>
  <c r="E170" i="7"/>
  <c r="E172" i="7"/>
  <c r="E174" i="7"/>
  <c r="E176" i="7"/>
  <c r="E178" i="7"/>
  <c r="E180" i="7"/>
  <c r="E182" i="7"/>
  <c r="E184" i="7"/>
  <c r="E186" i="7"/>
  <c r="E188" i="7"/>
  <c r="E190" i="7"/>
  <c r="E192" i="7"/>
  <c r="E194" i="7"/>
  <c r="E196" i="7"/>
  <c r="E198" i="7"/>
  <c r="E200" i="7"/>
  <c r="E202" i="7"/>
  <c r="E204" i="7"/>
  <c r="E206" i="7"/>
  <c r="E208" i="7"/>
  <c r="E210" i="7"/>
  <c r="E212" i="7"/>
  <c r="E214" i="7"/>
  <c r="E91" i="7"/>
  <c r="E95" i="7"/>
  <c r="E99" i="7"/>
  <c r="E103" i="7"/>
  <c r="E107" i="7"/>
  <c r="E111" i="7"/>
  <c r="E115" i="7"/>
  <c r="E119" i="7"/>
  <c r="E123" i="7"/>
  <c r="E127" i="7"/>
  <c r="E131" i="7"/>
  <c r="E135" i="7"/>
  <c r="E139" i="7"/>
  <c r="E143" i="7"/>
  <c r="E147" i="7"/>
  <c r="E151" i="7"/>
  <c r="E155" i="7"/>
  <c r="E159" i="7"/>
  <c r="E163" i="7"/>
  <c r="E167" i="7"/>
  <c r="E171" i="7"/>
  <c r="E175" i="7"/>
  <c r="E179" i="7"/>
  <c r="E183" i="7"/>
  <c r="E187" i="7"/>
  <c r="E191" i="7"/>
  <c r="E195" i="7"/>
  <c r="E199" i="7"/>
  <c r="E203" i="7"/>
  <c r="E207" i="7"/>
  <c r="E211" i="7"/>
  <c r="E215" i="7"/>
  <c r="E217" i="7"/>
  <c r="E219" i="7"/>
  <c r="E221" i="7"/>
  <c r="E223" i="7"/>
  <c r="E225" i="7"/>
  <c r="E227" i="7"/>
  <c r="E229" i="7"/>
  <c r="E231" i="7"/>
  <c r="E233" i="7"/>
  <c r="E235" i="7"/>
  <c r="E237" i="7"/>
  <c r="E239" i="7"/>
  <c r="E241" i="7"/>
  <c r="E243" i="7"/>
  <c r="E245" i="7"/>
  <c r="E247" i="7"/>
  <c r="E249" i="7"/>
  <c r="E251" i="7"/>
  <c r="E253" i="7"/>
  <c r="E255" i="7"/>
  <c r="E257" i="7"/>
  <c r="E259" i="7"/>
  <c r="E261" i="7"/>
  <c r="E263" i="7"/>
  <c r="E265" i="7"/>
  <c r="E267" i="7"/>
  <c r="E269" i="7"/>
  <c r="E271" i="7"/>
  <c r="E273" i="7"/>
  <c r="E275" i="7"/>
  <c r="E277" i="7"/>
  <c r="E279" i="7"/>
  <c r="E281" i="7"/>
  <c r="E283" i="7"/>
  <c r="E285" i="7"/>
  <c r="E287" i="7"/>
  <c r="E289" i="7"/>
  <c r="E291" i="7"/>
  <c r="E293" i="7"/>
  <c r="E295" i="7"/>
  <c r="E297" i="7"/>
  <c r="E299" i="7"/>
  <c r="E301" i="7"/>
  <c r="E303" i="7"/>
  <c r="E305" i="7"/>
  <c r="E307" i="7"/>
  <c r="E309" i="7"/>
  <c r="E311" i="7"/>
  <c r="E313" i="7"/>
  <c r="E315" i="7"/>
  <c r="E317" i="7"/>
  <c r="E319" i="7"/>
  <c r="E321" i="7"/>
  <c r="E323" i="7"/>
  <c r="E325" i="7"/>
  <c r="E327" i="7"/>
  <c r="E329" i="7"/>
  <c r="E331" i="7"/>
  <c r="E333" i="7"/>
  <c r="E335" i="7"/>
  <c r="E337" i="7"/>
  <c r="E339" i="7"/>
  <c r="E341" i="7"/>
  <c r="E343" i="7"/>
  <c r="E345" i="7"/>
  <c r="E347" i="7"/>
  <c r="E349" i="7"/>
  <c r="E351" i="7"/>
  <c r="E353" i="7"/>
  <c r="E355" i="7"/>
  <c r="E357" i="7"/>
  <c r="E359" i="7"/>
  <c r="E361" i="7"/>
  <c r="E363" i="7"/>
  <c r="E365" i="7"/>
  <c r="E367" i="7"/>
  <c r="E369" i="7"/>
  <c r="E371" i="7"/>
  <c r="E373" i="7"/>
  <c r="E375" i="7"/>
  <c r="E377" i="7"/>
  <c r="E379" i="7"/>
  <c r="E381" i="7"/>
  <c r="E383" i="7"/>
  <c r="E385" i="7"/>
  <c r="E387" i="7"/>
  <c r="E389" i="7"/>
  <c r="E391" i="7"/>
  <c r="E393" i="7"/>
  <c r="E395" i="7"/>
  <c r="E397" i="7"/>
  <c r="E399" i="7"/>
  <c r="E401" i="7"/>
  <c r="E403" i="7"/>
  <c r="E405" i="7"/>
  <c r="E407" i="7"/>
  <c r="E409" i="7"/>
  <c r="E411" i="7"/>
  <c r="E413" i="7"/>
  <c r="E415" i="7"/>
  <c r="E417" i="7"/>
  <c r="E419" i="7"/>
  <c r="E421" i="7"/>
  <c r="E423" i="7"/>
  <c r="E425" i="7"/>
  <c r="E427" i="7"/>
  <c r="E429" i="7"/>
  <c r="E431" i="7"/>
  <c r="E433" i="7"/>
  <c r="E435" i="7"/>
  <c r="E439" i="7"/>
  <c r="E441" i="7"/>
  <c r="E443" i="7"/>
  <c r="E445" i="7"/>
  <c r="E447" i="7"/>
  <c r="E449" i="7"/>
  <c r="E451" i="7"/>
  <c r="E453" i="7"/>
  <c r="E455" i="7"/>
  <c r="E457" i="7"/>
  <c r="E459" i="7"/>
  <c r="E461" i="7"/>
  <c r="E463" i="7"/>
  <c r="E465" i="7"/>
  <c r="E467" i="7"/>
  <c r="E469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8" i="7"/>
  <c r="E689" i="7"/>
  <c r="E690" i="7"/>
  <c r="E692" i="7"/>
  <c r="E693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6" i="7"/>
  <c r="E737" i="7"/>
  <c r="E738" i="7"/>
  <c r="E739" i="7"/>
  <c r="E741" i="7"/>
  <c r="E742" i="7"/>
  <c r="E743" i="7"/>
  <c r="E744" i="7"/>
  <c r="E746" i="7"/>
  <c r="E747" i="7"/>
  <c r="E748" i="7"/>
  <c r="E749" i="7"/>
  <c r="E750" i="7"/>
  <c r="E751" i="7"/>
  <c r="E752" i="7"/>
  <c r="E753" i="7"/>
  <c r="E755" i="7"/>
  <c r="E756" i="7"/>
  <c r="E757" i="7"/>
  <c r="E758" i="7"/>
  <c r="E759" i="7"/>
  <c r="E761" i="7"/>
  <c r="E762" i="7"/>
  <c r="E763" i="7"/>
  <c r="E764" i="7"/>
  <c r="E765" i="7"/>
  <c r="E766" i="7"/>
  <c r="E767" i="7"/>
  <c r="E769" i="7"/>
  <c r="E770" i="7"/>
  <c r="E771" i="7"/>
  <c r="E772" i="7"/>
  <c r="E773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2" i="7"/>
  <c r="E833" i="7"/>
  <c r="E834" i="7"/>
  <c r="E835" i="7"/>
  <c r="E836" i="7"/>
  <c r="E837" i="7"/>
  <c r="E853" i="7"/>
  <c r="E883" i="7"/>
  <c r="E884" i="7"/>
  <c r="E885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81" i="7"/>
  <c r="E982" i="7"/>
  <c r="E89" i="7"/>
  <c r="E97" i="7"/>
  <c r="E105" i="7"/>
  <c r="E113" i="7"/>
  <c r="E121" i="7"/>
  <c r="E129" i="7"/>
  <c r="E137" i="7"/>
  <c r="E145" i="7"/>
  <c r="E153" i="7"/>
  <c r="E161" i="7"/>
  <c r="E169" i="7"/>
  <c r="E177" i="7"/>
  <c r="E185" i="7"/>
  <c r="E193" i="7"/>
  <c r="E201" i="7"/>
  <c r="E209" i="7"/>
  <c r="E216" i="7"/>
  <c r="E220" i="7"/>
  <c r="E224" i="7"/>
  <c r="E228" i="7"/>
  <c r="E232" i="7"/>
  <c r="E236" i="7"/>
  <c r="E240" i="7"/>
  <c r="E244" i="7"/>
  <c r="E248" i="7"/>
  <c r="E252" i="7"/>
  <c r="E256" i="7"/>
  <c r="E260" i="7"/>
  <c r="E264" i="7"/>
  <c r="E268" i="7"/>
  <c r="E272" i="7"/>
  <c r="E276" i="7"/>
  <c r="E280" i="7"/>
  <c r="E284" i="7"/>
  <c r="E288" i="7"/>
  <c r="E292" i="7"/>
  <c r="E296" i="7"/>
  <c r="E300" i="7"/>
  <c r="E304" i="7"/>
  <c r="E308" i="7"/>
  <c r="E312" i="7"/>
  <c r="E316" i="7"/>
  <c r="E320" i="7"/>
  <c r="E324" i="7"/>
  <c r="E328" i="7"/>
  <c r="E332" i="7"/>
  <c r="E336" i="7"/>
  <c r="E340" i="7"/>
  <c r="E344" i="7"/>
  <c r="E348" i="7"/>
  <c r="E352" i="7"/>
  <c r="E356" i="7"/>
  <c r="E360" i="7"/>
  <c r="E364" i="7"/>
  <c r="E368" i="7"/>
  <c r="E372" i="7"/>
  <c r="E376" i="7"/>
  <c r="E380" i="7"/>
  <c r="E384" i="7"/>
  <c r="E388" i="7"/>
  <c r="E392" i="7"/>
  <c r="E396" i="7"/>
  <c r="E400" i="7"/>
  <c r="E404" i="7"/>
  <c r="E408" i="7"/>
  <c r="E412" i="7"/>
  <c r="E416" i="7"/>
  <c r="E420" i="7"/>
  <c r="E424" i="7"/>
  <c r="E428" i="7"/>
  <c r="E432" i="7"/>
  <c r="E436" i="7"/>
  <c r="E440" i="7"/>
  <c r="E444" i="7"/>
  <c r="E448" i="7"/>
  <c r="E452" i="7"/>
  <c r="E456" i="7"/>
  <c r="E460" i="7"/>
  <c r="E464" i="7"/>
  <c r="E468" i="7"/>
  <c r="E983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6" i="7"/>
  <c r="E1011" i="7"/>
  <c r="E1012" i="7"/>
  <c r="E1013" i="7"/>
  <c r="E1014" i="7"/>
  <c r="E1015" i="7"/>
  <c r="E1016" i="7"/>
  <c r="E1017" i="7"/>
  <c r="E1018" i="7"/>
  <c r="E1020" i="7"/>
  <c r="E1022" i="7"/>
  <c r="E1023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470" i="7"/>
  <c r="E462" i="7"/>
  <c r="E454" i="7"/>
  <c r="E446" i="7"/>
  <c r="E438" i="7"/>
  <c r="E430" i="7"/>
  <c r="E422" i="7"/>
  <c r="E414" i="7"/>
  <c r="E406" i="7"/>
  <c r="E398" i="7"/>
  <c r="E390" i="7"/>
  <c r="E382" i="7"/>
  <c r="E374" i="7"/>
  <c r="E366" i="7"/>
  <c r="E358" i="7"/>
  <c r="E350" i="7"/>
  <c r="E342" i="7"/>
  <c r="E334" i="7"/>
  <c r="E326" i="7"/>
  <c r="E318" i="7"/>
  <c r="E310" i="7"/>
  <c r="E302" i="7"/>
  <c r="E294" i="7"/>
  <c r="E286" i="7"/>
  <c r="E278" i="7"/>
  <c r="E270" i="7"/>
  <c r="E262" i="7"/>
  <c r="E254" i="7"/>
  <c r="E246" i="7"/>
  <c r="E238" i="7"/>
  <c r="E230" i="7"/>
  <c r="E222" i="7"/>
  <c r="E213" i="7"/>
  <c r="E197" i="7"/>
  <c r="E181" i="7"/>
  <c r="E165" i="7"/>
  <c r="E149" i="7"/>
  <c r="E133" i="7"/>
  <c r="E117" i="7"/>
  <c r="E101" i="7"/>
  <c r="E6" i="7" l="1"/>
  <c r="E7" i="7"/>
  <c r="E8" i="7" l="1"/>
  <c r="E9" i="7" l="1"/>
  <c r="E10" i="7"/>
  <c r="E11" i="7"/>
  <c r="E12" i="7" l="1"/>
  <c r="E13" i="7" l="1"/>
  <c r="E14" i="7" l="1"/>
  <c r="E15" i="7"/>
  <c r="E16" i="7" s="1"/>
  <c r="E17" i="7" l="1"/>
  <c r="E20" i="7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E51" i="7" s="1"/>
  <c r="E52" i="7" s="1"/>
  <c r="E53" i="7" s="1"/>
  <c r="E54" i="7" s="1"/>
  <c r="E55" i="7" s="1"/>
  <c r="E56" i="7" s="1"/>
  <c r="E57" i="7" s="1"/>
  <c r="E58" i="7" s="1"/>
  <c r="E59" i="7" s="1"/>
  <c r="E60" i="7" s="1"/>
  <c r="E61" i="7" s="1"/>
  <c r="E62" i="7" s="1"/>
  <c r="E63" i="7" s="1"/>
  <c r="E64" i="7" s="1"/>
  <c r="E65" i="7" s="1"/>
  <c r="E66" i="7" s="1"/>
  <c r="E67" i="7" s="1"/>
  <c r="E68" i="7" s="1"/>
  <c r="E69" i="7" s="1"/>
  <c r="E18" i="7" l="1"/>
  <c r="E19" i="7" l="1"/>
  <c r="E70" i="7"/>
  <c r="E71" i="7" l="1"/>
  <c r="E72" i="7" l="1"/>
  <c r="E73" i="7" l="1"/>
  <c r="E74" i="7" l="1"/>
  <c r="E683" i="7" l="1"/>
  <c r="E684" i="7" s="1"/>
  <c r="E685" i="7" s="1"/>
  <c r="E686" i="7" s="1"/>
  <c r="E687" i="7" s="1"/>
  <c r="E691" i="7" s="1"/>
  <c r="E437" i="7"/>
  <c r="E694" i="7"/>
  <c r="E735" i="7" l="1"/>
  <c r="E740" i="7" s="1"/>
  <c r="E745" i="7" s="1"/>
  <c r="E754" i="7" s="1"/>
  <c r="E760" i="7" s="1"/>
  <c r="E768" i="7" s="1"/>
  <c r="E774" i="7"/>
  <c r="E775" i="7" l="1"/>
  <c r="E806" i="7" s="1"/>
  <c r="E838" i="7" l="1"/>
  <c r="E831" i="7"/>
  <c r="E839" i="7"/>
  <c r="E840" i="7" s="1"/>
  <c r="E841" i="7" s="1"/>
  <c r="E842" i="7" s="1"/>
  <c r="E843" i="7" s="1"/>
  <c r="E844" i="7" s="1"/>
  <c r="E845" i="7" s="1"/>
  <c r="E846" i="7" s="1"/>
  <c r="E847" i="7" s="1"/>
  <c r="E848" i="7" s="1"/>
  <c r="E849" i="7" s="1"/>
  <c r="E850" i="7" s="1"/>
  <c r="E851" i="7" s="1"/>
  <c r="E852" i="7" s="1"/>
  <c r="E854" i="7" s="1"/>
  <c r="E855" i="7" s="1"/>
  <c r="E856" i="7" s="1"/>
  <c r="E857" i="7" s="1"/>
  <c r="E858" i="7" s="1"/>
  <c r="E859" i="7" s="1"/>
  <c r="E860" i="7" s="1"/>
  <c r="E861" i="7" s="1"/>
  <c r="E862" i="7" s="1"/>
  <c r="E863" i="7" s="1"/>
  <c r="E864" i="7" s="1"/>
  <c r="E865" i="7" s="1"/>
  <c r="E866" i="7" s="1"/>
  <c r="E867" i="7" s="1"/>
  <c r="E868" i="7" s="1"/>
  <c r="E869" i="7" s="1"/>
  <c r="E870" i="7" s="1"/>
  <c r="E871" i="7" s="1"/>
  <c r="E872" i="7" s="1"/>
  <c r="E873" i="7" s="1"/>
  <c r="E874" i="7" s="1"/>
  <c r="E875" i="7" s="1"/>
  <c r="E876" i="7" s="1"/>
  <c r="E877" i="7" s="1"/>
  <c r="E878" i="7" s="1"/>
  <c r="E879" i="7" s="1"/>
  <c r="E880" i="7" s="1"/>
  <c r="E881" i="7" s="1"/>
  <c r="E882" i="7" s="1"/>
  <c r="E886" i="7" s="1"/>
  <c r="E887" i="7" s="1"/>
  <c r="E888" i="7" s="1"/>
  <c r="E889" i="7" s="1"/>
  <c r="E890" i="7" s="1"/>
  <c r="E891" i="7" s="1"/>
  <c r="E892" i="7" s="1"/>
  <c r="E893" i="7" s="1"/>
  <c r="E894" i="7" l="1"/>
  <c r="E976" i="7" l="1"/>
  <c r="E977" i="7" l="1"/>
  <c r="E978" i="7" l="1"/>
  <c r="E979" i="7" l="1"/>
  <c r="E980" i="7" l="1"/>
  <c r="E984" i="7" l="1"/>
  <c r="E1005" i="7" s="1"/>
  <c r="E1007" i="7" s="1"/>
  <c r="E1008" i="7" s="1"/>
  <c r="E1009" i="7" s="1"/>
  <c r="E1010" i="7" s="1"/>
  <c r="E1019" i="7" s="1"/>
  <c r="E1021" i="7" s="1"/>
  <c r="E1024" i="7" s="1"/>
  <c r="H906" i="7" s="1"/>
  <c r="H103" i="7"/>
  <c r="H701" i="7"/>
  <c r="H445" i="7"/>
  <c r="H1008" i="7"/>
  <c r="H1004" i="7"/>
  <c r="H1016" i="7"/>
  <c r="H470" i="7"/>
  <c r="H1175" i="7"/>
  <c r="H663" i="7"/>
  <c r="H971" i="7"/>
  <c r="H259" i="7"/>
  <c r="H986" i="7"/>
  <c r="H271" i="7"/>
  <c r="H734" i="7"/>
  <c r="H96" i="7"/>
  <c r="H892" i="7"/>
  <c r="H373" i="7"/>
  <c r="H1205" i="7"/>
  <c r="H107" i="7"/>
  <c r="H382" i="7"/>
  <c r="H622" i="7"/>
  <c r="H502" i="7"/>
  <c r="H656" i="7"/>
  <c r="H31" i="7"/>
  <c r="H154" i="7"/>
  <c r="H1038" i="7"/>
  <c r="H603" i="7"/>
  <c r="H125" i="7"/>
  <c r="H387" i="7"/>
  <c r="H1097" i="7"/>
  <c r="H491" i="7"/>
  <c r="H774" i="7"/>
  <c r="H791" i="7"/>
  <c r="H993" i="7"/>
  <c r="H707" i="7"/>
  <c r="H839" i="7"/>
  <c r="H1213" i="7"/>
  <c r="H232" i="7"/>
  <c r="H1153" i="7"/>
  <c r="H602" i="7"/>
  <c r="H830" i="7"/>
  <c r="H286" i="7"/>
  <c r="H1195" i="7"/>
  <c r="H490" i="7"/>
  <c r="H925" i="7"/>
  <c r="H813" i="7"/>
  <c r="H662" i="7"/>
  <c r="H519" i="7"/>
  <c r="H1076" i="7"/>
  <c r="H741" i="7"/>
  <c r="H747" i="7"/>
  <c r="H926" i="7"/>
  <c r="H345" i="7"/>
  <c r="H456" i="7"/>
  <c r="H70" i="7"/>
  <c r="H131" i="7"/>
  <c r="H852" i="7"/>
  <c r="H121" i="7"/>
  <c r="H268" i="7"/>
  <c r="H646" i="7"/>
  <c r="H1033" i="7"/>
  <c r="H923" i="7"/>
  <c r="H940" i="7"/>
  <c r="H1145" i="7"/>
  <c r="H115" i="7"/>
  <c r="H868" i="7"/>
  <c r="H314" i="7"/>
  <c r="H377" i="7"/>
  <c r="H948" i="7"/>
  <c r="H396" i="7"/>
  <c r="H427" i="7"/>
  <c r="H428" i="7"/>
  <c r="H975" i="7"/>
  <c r="H786" i="7"/>
  <c r="H819" i="7"/>
  <c r="H361" i="7"/>
  <c r="H1090" i="7"/>
  <c r="H719" i="7"/>
  <c r="H915" i="7"/>
  <c r="H880" i="7"/>
  <c r="H322" i="7"/>
  <c r="H503" i="7"/>
  <c r="H384" i="7"/>
  <c r="H344" i="7"/>
  <c r="H865" i="7"/>
  <c r="H45" i="7"/>
  <c r="H333" i="7"/>
  <c r="H870" i="7"/>
  <c r="H618" i="7"/>
  <c r="H812" i="7"/>
  <c r="H988" i="7"/>
  <c r="H177" i="7"/>
  <c r="H1200" i="7"/>
  <c r="H748" i="7"/>
  <c r="H442" i="7"/>
  <c r="H475" i="7"/>
  <c r="H436" i="7"/>
  <c r="H714" i="7"/>
  <c r="H1211" i="7"/>
  <c r="H78" i="7"/>
  <c r="H165" i="7"/>
  <c r="H625" i="7"/>
  <c r="H695" i="7"/>
  <c r="H767" i="7"/>
  <c r="H87" i="7"/>
  <c r="H200" i="7"/>
  <c r="H166" i="7"/>
  <c r="H557" i="7"/>
  <c r="H346" i="7"/>
  <c r="H460" i="7"/>
  <c r="H792" i="7"/>
  <c r="H81" i="7"/>
  <c r="H467" i="7"/>
  <c r="H995" i="7"/>
  <c r="H164" i="7"/>
  <c r="H676" i="7"/>
  <c r="H1035" i="7"/>
  <c r="H448" i="7"/>
  <c r="H216" i="7"/>
  <c r="H527" i="7"/>
  <c r="H364" i="7"/>
  <c r="H281" i="7"/>
  <c r="H931" i="7"/>
  <c r="H1184" i="7"/>
  <c r="H1101" i="7"/>
  <c r="H23" i="7"/>
  <c r="H823" i="7"/>
  <c r="H249" i="7"/>
  <c r="H1059" i="7"/>
  <c r="H876" i="7"/>
  <c r="H458" i="7"/>
  <c r="H255" i="7"/>
  <c r="H30" i="7"/>
  <c r="H176" i="7"/>
  <c r="H1010" i="7"/>
  <c r="H661" i="7"/>
  <c r="H1065" i="7"/>
  <c r="H885" i="7"/>
  <c r="H686" i="7"/>
  <c r="H168" i="7"/>
  <c r="H577" i="7"/>
  <c r="H287" i="7"/>
  <c r="H1031" i="7"/>
  <c r="H1091" i="7"/>
  <c r="H882" i="7"/>
  <c r="H756" i="7"/>
  <c r="H497" i="7"/>
  <c r="H124" i="7"/>
  <c r="H804" i="7"/>
  <c r="H77" i="7"/>
  <c r="H455" i="7"/>
  <c r="H929" i="7"/>
  <c r="H903" i="7"/>
  <c r="H979" i="7"/>
  <c r="H1151" i="7"/>
  <c r="H678" i="7"/>
  <c r="H828" i="7"/>
  <c r="H171" i="7"/>
  <c r="H72" i="7"/>
  <c r="H675" i="7"/>
  <c r="H225" i="7"/>
  <c r="H263" i="7"/>
  <c r="H423" i="7"/>
  <c r="H974" i="7"/>
  <c r="H850" i="7"/>
  <c r="H174" i="7"/>
  <c r="H27" i="7"/>
  <c r="H88" i="7"/>
  <c r="H331" i="7"/>
  <c r="H1203" i="7"/>
  <c r="H283" i="7"/>
  <c r="H755" i="7"/>
  <c r="H201" i="7"/>
  <c r="H654" i="7"/>
  <c r="H798" i="7"/>
  <c r="H385" i="7"/>
  <c r="H275" i="7"/>
  <c r="H265" i="7"/>
  <c r="H712" i="7"/>
  <c r="H687" i="7"/>
  <c r="H116" i="7"/>
  <c r="H698" i="7"/>
  <c r="H867" i="7"/>
  <c r="H309" i="7"/>
  <c r="H130" i="7"/>
  <c r="H1003" i="7"/>
  <c r="H795" i="7"/>
  <c r="H641" i="7"/>
  <c r="H139" i="7"/>
  <c r="H133" i="7"/>
  <c r="H86" i="7"/>
  <c r="H834" i="7"/>
  <c r="H415" i="7"/>
  <c r="H71" i="7"/>
  <c r="H1215" i="7"/>
  <c r="H349" i="7"/>
  <c r="H706" i="7"/>
  <c r="H515" i="7"/>
  <c r="H433" i="7"/>
  <c r="H916" i="7"/>
  <c r="H140" i="7"/>
  <c r="H1202" i="7"/>
  <c r="H438" i="7"/>
  <c r="H1036" i="7"/>
  <c r="H682" i="7"/>
  <c r="H949" i="7"/>
  <c r="H219" i="7"/>
  <c r="H772" i="7"/>
  <c r="H977" i="7"/>
  <c r="H1098" i="7"/>
  <c r="H97" i="7"/>
  <c r="H1108" i="7"/>
  <c r="H1064" i="7"/>
  <c r="H745" i="7"/>
  <c r="H410" i="7"/>
  <c r="H241" i="7"/>
  <c r="H1207" i="7"/>
  <c r="H187" i="7"/>
  <c r="H723" i="7"/>
  <c r="H688" i="7"/>
  <c r="H1201" i="7"/>
  <c r="H401" i="7"/>
  <c r="H64" i="7"/>
  <c r="H413" i="7"/>
  <c r="H509" i="7"/>
  <c r="H53" i="7"/>
  <c r="H902" i="7"/>
  <c r="H659" i="7"/>
  <c r="H319" i="7"/>
  <c r="H1185" i="7"/>
  <c r="H546" i="7"/>
  <c r="H1149" i="7"/>
  <c r="H459" i="7"/>
  <c r="H248" i="7"/>
  <c r="H260" i="7"/>
  <c r="H230" i="7"/>
  <c r="H559" i="7"/>
  <c r="H1167" i="7"/>
  <c r="H746" i="7"/>
  <c r="H369" i="7"/>
  <c r="H1078" i="7"/>
  <c r="H536" i="7"/>
  <c r="H1063" i="7"/>
  <c r="H1186" i="7"/>
  <c r="H1124" i="7"/>
  <c r="H538" i="7"/>
  <c r="H295" i="7"/>
  <c r="H362" i="7"/>
  <c r="H207" i="7"/>
  <c r="H704" i="7"/>
  <c r="H571" i="7"/>
  <c r="H643" i="7"/>
  <c r="H73" i="7"/>
  <c r="H576" i="7"/>
  <c r="H474" i="7"/>
  <c r="H426" i="7"/>
  <c r="H386" i="7"/>
  <c r="H679" i="7"/>
  <c r="H814" i="7"/>
  <c r="H1050" i="7"/>
  <c r="H59" i="7"/>
  <c r="H449" i="7"/>
  <c r="H441" i="7"/>
  <c r="H379" i="7"/>
  <c r="H591" i="7"/>
  <c r="H404" i="7"/>
  <c r="H127" i="7"/>
  <c r="H722" i="7"/>
  <c r="H143" i="7"/>
  <c r="H1049" i="7"/>
  <c r="H737" i="7"/>
  <c r="H780" i="7"/>
  <c r="H300" i="7"/>
  <c r="H419" i="7"/>
  <c r="H568" i="7"/>
  <c r="H114" i="7"/>
  <c r="H1039" i="7"/>
  <c r="H574" i="7"/>
  <c r="H203" i="7"/>
  <c r="H209" i="7"/>
  <c r="H82" i="7"/>
  <c r="H912" i="7"/>
  <c r="H726" i="7"/>
  <c r="H167" i="7"/>
  <c r="H1071" i="7"/>
  <c r="H879" i="7"/>
  <c r="H1018" i="7"/>
  <c r="H539" i="7"/>
  <c r="H976" i="7"/>
  <c r="H518" i="7"/>
  <c r="H236" i="7"/>
  <c r="H213" i="7"/>
  <c r="H252" i="7"/>
  <c r="H1069" i="7"/>
  <c r="H627" i="7"/>
  <c r="H1183" i="7"/>
  <c r="H398" i="7"/>
  <c r="H801" i="7"/>
  <c r="H908" i="7"/>
  <c r="H239" i="7"/>
  <c r="H535" i="7"/>
  <c r="H964" i="7"/>
  <c r="H48" i="7"/>
  <c r="H141" i="7"/>
  <c r="H92" i="7"/>
  <c r="H194" i="7"/>
  <c r="H481" i="7"/>
  <c r="H573" i="7"/>
  <c r="H406" i="7"/>
  <c r="H261" i="7"/>
  <c r="H909" i="7"/>
  <c r="H42" i="7"/>
  <c r="H1147" i="7"/>
  <c r="H947" i="7"/>
  <c r="H46" i="7"/>
  <c r="H304" i="7"/>
  <c r="H425" i="7"/>
  <c r="H1084" i="7"/>
  <c r="H637" i="7"/>
  <c r="H728" i="7"/>
  <c r="H589" i="7"/>
  <c r="H671" i="7"/>
  <c r="H292" i="7"/>
  <c r="H575" i="7"/>
  <c r="H273" i="7"/>
  <c r="H1005" i="7"/>
  <c r="H1105" i="7"/>
  <c r="H934" i="7"/>
  <c r="H183" i="7"/>
  <c r="H228" i="7"/>
  <c r="H109" i="7"/>
  <c r="H1054" i="7"/>
  <c r="H56" i="7"/>
  <c r="H563" i="7"/>
  <c r="H733" i="7"/>
  <c r="H350" i="7"/>
  <c r="H245" i="7"/>
  <c r="H629" i="7"/>
  <c r="H1053" i="7"/>
  <c r="H353" i="7"/>
  <c r="H616" i="7"/>
  <c r="H874" i="7"/>
  <c r="H796" i="7"/>
  <c r="H783" i="7"/>
  <c r="H1164" i="7"/>
  <c r="H914" i="7"/>
  <c r="H690" i="7"/>
  <c r="H310" i="7"/>
  <c r="H375" i="7"/>
  <c r="H466" i="7"/>
  <c r="H1123" i="7"/>
  <c r="H162" i="7"/>
  <c r="H595" i="7"/>
  <c r="H282" i="7"/>
  <c r="H202" i="7"/>
  <c r="H274" i="7"/>
  <c r="H246" i="7"/>
  <c r="H189" i="7"/>
  <c r="H301" i="7"/>
  <c r="H237" i="7"/>
  <c r="H858" i="7"/>
  <c r="H132" i="7"/>
  <c r="H1139" i="7"/>
  <c r="H886" i="7"/>
  <c r="H134" i="7"/>
  <c r="H802" i="7"/>
  <c r="H771" i="7"/>
  <c r="H270" i="7"/>
  <c r="H150" i="7"/>
  <c r="H1043" i="7"/>
  <c r="H720" i="7"/>
  <c r="H91" i="7"/>
  <c r="H799" i="7"/>
  <c r="H222" i="7"/>
  <c r="H253" i="7"/>
  <c r="H630" i="7"/>
  <c r="H63" i="7"/>
  <c r="H462" i="7"/>
  <c r="H1188" i="7"/>
  <c r="H1160" i="7"/>
  <c r="H820" i="7"/>
  <c r="H787" i="7"/>
  <c r="H119" i="7"/>
  <c r="H195" i="7"/>
  <c r="H206" i="7"/>
  <c r="H738" i="7"/>
  <c r="H1082" i="7"/>
  <c r="H1150" i="7"/>
  <c r="H104" i="7"/>
  <c r="H969" i="7"/>
  <c r="H1102" i="7"/>
  <c r="H610" i="7"/>
  <c r="H469" i="7"/>
  <c r="H1093" i="7"/>
  <c r="H918" i="7"/>
  <c r="H1110" i="7"/>
  <c r="H1209" i="7"/>
  <c r="H62" i="7"/>
  <c r="H1204" i="7"/>
  <c r="H500" i="7"/>
  <c r="H998" i="7"/>
  <c r="H942" i="7"/>
  <c r="H407" i="7"/>
  <c r="H105" i="7"/>
  <c r="H650" i="7"/>
  <c r="H847" i="7"/>
  <c r="H197" i="7"/>
  <c r="H899" i="7"/>
  <c r="H330" i="7"/>
  <c r="H725" i="7"/>
  <c r="H307" i="7"/>
  <c r="H112" i="7"/>
  <c r="H545" i="7"/>
  <c r="H946" i="7"/>
  <c r="H832" i="7"/>
  <c r="H1116" i="7"/>
  <c r="H24" i="7"/>
  <c r="H399" i="7"/>
  <c r="H1026" i="7"/>
  <c r="H853" i="7"/>
  <c r="H642" i="7"/>
  <c r="H955" i="7"/>
  <c r="H635" i="7"/>
  <c r="H717" i="7"/>
  <c r="H613" i="7"/>
  <c r="H185" i="7"/>
  <c r="H1174" i="7"/>
  <c r="H803" i="7"/>
  <c r="H939" i="7"/>
  <c r="H499" i="7"/>
  <c r="H316" i="7"/>
  <c r="H129" i="7"/>
  <c r="H849" i="7"/>
  <c r="H440" i="7"/>
  <c r="H523" i="7"/>
  <c r="H891" i="7"/>
  <c r="H100" i="7"/>
  <c r="H1042" i="7"/>
  <c r="H279" i="7"/>
  <c r="H397" i="7"/>
  <c r="H348" i="7"/>
  <c r="H731" i="7"/>
  <c r="H586" i="7"/>
  <c r="H1080" i="7"/>
  <c r="H1193" i="7"/>
  <c r="H835" i="7"/>
  <c r="H1187" i="7"/>
  <c r="H159" i="7"/>
  <c r="H996" i="7"/>
  <c r="H257" i="7"/>
  <c r="H592" i="7"/>
  <c r="H510" i="7"/>
  <c r="H278" i="7"/>
  <c r="H1088" i="7"/>
  <c r="H904" i="7"/>
  <c r="H341" i="7"/>
  <c r="H49" i="7"/>
  <c r="H244" i="7"/>
  <c r="H628" i="7"/>
  <c r="H504" i="7"/>
  <c r="H251" i="7"/>
  <c r="H1120" i="7"/>
  <c r="H76" i="7"/>
  <c r="H152" i="7"/>
  <c r="H79" i="7"/>
  <c r="H794" i="7"/>
  <c r="H594" i="7"/>
  <c r="H335" i="7"/>
  <c r="H881" i="7"/>
  <c r="H1067" i="7"/>
  <c r="H1025" i="7"/>
  <c r="H360" i="7"/>
  <c r="H338" i="7"/>
  <c r="H354" i="7"/>
  <c r="H507" i="7"/>
  <c r="H764" i="7"/>
  <c r="H640" i="7"/>
  <c r="H169" i="7"/>
  <c r="H639" i="7"/>
  <c r="H145" i="7"/>
  <c r="H691" i="7"/>
  <c r="H833" i="7"/>
  <c r="H843" i="7"/>
  <c r="H620" i="7"/>
  <c r="H1075" i="7"/>
  <c r="H408" i="7"/>
  <c r="H1166" i="7"/>
  <c r="H765" i="7"/>
  <c r="H600" i="7"/>
  <c r="H836" i="7"/>
  <c r="H1132" i="7"/>
  <c r="H619" i="7"/>
  <c r="H430" i="7"/>
  <c r="H1014" i="7"/>
  <c r="H366" i="7"/>
  <c r="H126" i="7"/>
  <c r="H1046" i="7"/>
  <c r="H136" i="7"/>
  <c r="H991" i="7"/>
  <c r="H142" i="7"/>
  <c r="H570" i="7"/>
  <c r="H1055" i="7"/>
  <c r="H815" i="7"/>
  <c r="H665" i="7"/>
  <c r="H1109" i="7"/>
  <c r="H541" i="7"/>
  <c r="H446" i="7"/>
  <c r="H156" i="7"/>
  <c r="H269" i="7"/>
  <c r="H1006" i="7"/>
  <c r="H1048" i="7"/>
  <c r="H672" i="7"/>
  <c r="H950" i="7"/>
  <c r="H489" i="7"/>
  <c r="H1161" i="7"/>
  <c r="H424" i="7"/>
  <c r="H492" i="7"/>
  <c r="H482" i="7"/>
  <c r="H709" i="7"/>
  <c r="H932" i="7"/>
  <c r="H496" i="7"/>
  <c r="H766" i="7"/>
  <c r="H525" i="7"/>
  <c r="H376" i="7"/>
  <c r="H981" i="7"/>
  <c r="H1126" i="7"/>
  <c r="H1015" i="7"/>
  <c r="H666" i="7"/>
  <c r="H392" i="7"/>
  <c r="H172" i="7"/>
  <c r="H516" i="7"/>
  <c r="H989" i="7"/>
  <c r="H768" i="7"/>
  <c r="H47" i="7"/>
  <c r="H520" i="7"/>
  <c r="H113" i="7"/>
  <c r="H648" i="7"/>
  <c r="H1146" i="7"/>
  <c r="H242" i="7"/>
  <c r="H484" i="7"/>
  <c r="H191" i="7"/>
  <c r="H452" i="7"/>
  <c r="H298" i="7"/>
  <c r="H581" i="7"/>
  <c r="H933" i="7"/>
  <c r="H277" i="7"/>
  <c r="H1176" i="7"/>
  <c r="H1066" i="7"/>
  <c r="H210" i="7"/>
  <c r="H817" i="7"/>
  <c r="H318" i="7"/>
  <c r="H587" i="7"/>
  <c r="H1162" i="7"/>
  <c r="H1135" i="7"/>
  <c r="H479" i="7"/>
  <c r="H205" i="7"/>
  <c r="H740" i="7"/>
  <c r="H856" i="7"/>
  <c r="H968" i="7"/>
  <c r="H495" i="7" l="1"/>
  <c r="H544" i="7"/>
  <c r="H919" i="7"/>
  <c r="H320" i="7"/>
  <c r="H548" i="7"/>
  <c r="H1052" i="7"/>
  <c r="H444" i="7"/>
  <c r="H1034" i="7"/>
  <c r="H505" i="7"/>
  <c r="H877" i="7"/>
  <c r="H1173" i="7"/>
  <c r="H215" i="7"/>
  <c r="H1190" i="7"/>
  <c r="H1133" i="7"/>
  <c r="H51" i="7"/>
  <c r="H447" i="7"/>
  <c r="H664" i="7"/>
  <c r="H985" i="7"/>
  <c r="H451" i="7"/>
  <c r="H854" i="7"/>
  <c r="H284" i="7"/>
  <c r="H326" i="7"/>
  <c r="H149" i="7"/>
  <c r="H990" i="7"/>
  <c r="H566" i="7"/>
  <c r="H160" i="7"/>
  <c r="H84" i="7"/>
  <c r="H526" i="7"/>
  <c r="H588" i="7"/>
  <c r="H667" i="7"/>
  <c r="H329" i="7"/>
  <c r="H1169" i="7"/>
  <c r="H944" i="7"/>
  <c r="H1094" i="7"/>
  <c r="H866" i="7"/>
  <c r="H1009" i="7"/>
  <c r="H337" i="7"/>
  <c r="H258" i="7"/>
  <c r="H597" i="7"/>
  <c r="H605" i="7"/>
  <c r="H894" i="7"/>
  <c r="H521" i="7"/>
  <c r="H524" i="7"/>
  <c r="H716" i="7"/>
  <c r="H936" i="7"/>
  <c r="H517" i="7"/>
  <c r="H878" i="7"/>
  <c r="H1141" i="7"/>
  <c r="H1129" i="7"/>
  <c r="H155" i="7"/>
  <c r="H414" i="7"/>
  <c r="H317" i="7"/>
  <c r="H1045" i="7"/>
  <c r="H305" i="7"/>
  <c r="H29" i="7"/>
  <c r="H453" i="7"/>
  <c r="H328" i="7"/>
  <c r="H966" i="7"/>
  <c r="H533" i="7"/>
  <c r="H35" i="7"/>
  <c r="H1028" i="7"/>
  <c r="H40" i="7"/>
  <c r="H303" i="7"/>
  <c r="H888" i="7"/>
  <c r="H208" i="7"/>
  <c r="H476" i="7"/>
  <c r="H724" i="7"/>
  <c r="H39" i="7"/>
  <c r="H416" i="7"/>
  <c r="H480" i="7"/>
  <c r="H247" i="7"/>
  <c r="H972" i="7"/>
  <c r="H175" i="7"/>
  <c r="H144" i="7"/>
  <c r="H816" i="7"/>
  <c r="H324" i="7"/>
  <c r="H1073" i="7"/>
  <c r="H1041" i="7"/>
  <c r="H487" i="7"/>
  <c r="H762" i="7"/>
  <c r="H422" i="7"/>
  <c r="H1140" i="7"/>
  <c r="H821" i="7"/>
  <c r="H1180" i="7"/>
  <c r="H383" i="7"/>
  <c r="H562" i="7"/>
  <c r="H368" i="7"/>
  <c r="H542" i="7"/>
  <c r="H857" i="7"/>
  <c r="H753" i="7"/>
  <c r="H465" i="7"/>
  <c r="H1118" i="7"/>
  <c r="H1138" i="7"/>
  <c r="H358" i="7"/>
  <c r="H829" i="7"/>
  <c r="H1142" i="7"/>
  <c r="H120" i="7"/>
  <c r="H233" i="7"/>
  <c r="H584" i="7"/>
  <c r="H910" i="7"/>
  <c r="H951" i="7"/>
  <c r="H730" i="7"/>
  <c r="H93" i="7"/>
  <c r="H235" i="7"/>
  <c r="H363" i="7"/>
  <c r="H598" i="7"/>
  <c r="H299" i="7"/>
  <c r="H33" i="7"/>
  <c r="H913" i="7"/>
  <c r="H161" i="7"/>
  <c r="H276" i="7"/>
  <c r="H250" i="7"/>
  <c r="H325" i="7"/>
  <c r="H760" i="7"/>
  <c r="H674" i="7"/>
  <c r="H842" i="7"/>
  <c r="H1157" i="7"/>
  <c r="H22" i="7"/>
  <c r="H198" i="7"/>
  <c r="H435" i="7"/>
  <c r="H311" i="7"/>
  <c r="H958" i="7"/>
  <c r="H721" i="7"/>
  <c r="H732" i="7"/>
  <c r="H429" i="7"/>
  <c r="H694" i="7"/>
  <c r="H380" i="7"/>
  <c r="H960" i="7"/>
  <c r="H443" i="7"/>
  <c r="H824" i="7"/>
  <c r="H173" i="7"/>
  <c r="H1086" i="7"/>
  <c r="H776" i="7"/>
  <c r="H811" i="7"/>
  <c r="H697" i="7"/>
  <c r="H178" i="7"/>
  <c r="H959" i="7"/>
  <c r="H1192" i="7"/>
  <c r="H699" i="7"/>
  <c r="H37" i="7"/>
  <c r="H506" i="7"/>
  <c r="H1131" i="7"/>
  <c r="H395" i="7"/>
  <c r="H956" i="7"/>
  <c r="H388" i="7"/>
  <c r="H1171" i="7"/>
  <c r="H549" i="7"/>
  <c r="H560" i="7"/>
  <c r="H935" i="7"/>
  <c r="H922" i="7"/>
  <c r="H851" i="7"/>
  <c r="H805" i="7"/>
  <c r="H1178" i="7"/>
  <c r="H390" i="7"/>
  <c r="H898" i="7"/>
  <c r="H582" i="7"/>
  <c r="H751" i="7"/>
  <c r="H1070" i="7"/>
  <c r="H351" i="7"/>
  <c r="H844" i="7"/>
  <c r="H372" i="7"/>
  <c r="H128" i="7"/>
  <c r="H118" i="7"/>
  <c r="H841" i="7"/>
  <c r="H547" i="7"/>
  <c r="H683" i="7"/>
  <c r="H41" i="7"/>
  <c r="H710" i="7"/>
  <c r="H781" i="7"/>
  <c r="H365" i="7"/>
  <c r="H478" i="7"/>
  <c r="H68" i="7"/>
  <c r="H930" i="7"/>
  <c r="H356" i="7"/>
  <c r="H110" i="7"/>
  <c r="H1163" i="7"/>
  <c r="H483" i="7"/>
  <c r="H645" i="7"/>
  <c r="H705" i="7"/>
  <c r="H626" i="7"/>
  <c r="H696" i="7"/>
  <c r="H1154" i="7"/>
  <c r="H711" i="7"/>
  <c r="H434" i="7"/>
  <c r="H775" i="7"/>
  <c r="H1170" i="7"/>
  <c r="H555" i="7"/>
  <c r="H371" i="7"/>
  <c r="H98" i="7"/>
  <c r="H1092" i="7"/>
  <c r="H151" i="7"/>
  <c r="H917" i="7"/>
  <c r="H606" i="7"/>
  <c r="H1152" i="7"/>
  <c r="H785" i="7"/>
  <c r="H420" i="7"/>
  <c r="H1012" i="7"/>
  <c r="H218" i="7"/>
  <c r="H512" i="7"/>
  <c r="H901" i="7"/>
  <c r="H1060" i="7"/>
  <c r="H409" i="7"/>
  <c r="H754" i="7"/>
  <c r="H831" i="7"/>
  <c r="H472" i="7"/>
  <c r="H294" i="7"/>
  <c r="H634" i="7"/>
  <c r="H962" i="7"/>
  <c r="H827" i="7"/>
  <c r="H818" i="7"/>
  <c r="H1040" i="7"/>
  <c r="H655" i="7"/>
  <c r="H808" i="7"/>
  <c r="H297" i="7"/>
  <c r="H193" i="7"/>
  <c r="H982" i="7"/>
  <c r="H769" i="7"/>
  <c r="H872" i="7"/>
  <c r="H953" i="7"/>
  <c r="H5" i="7"/>
  <c r="H20" i="7"/>
  <c r="H3" i="7"/>
  <c r="H10" i="7"/>
  <c r="H6" i="7"/>
  <c r="H14" i="7"/>
  <c r="H4" i="7"/>
  <c r="H15" i="7"/>
  <c r="H17" i="7"/>
  <c r="H13" i="7"/>
  <c r="H19" i="7"/>
  <c r="H9" i="7"/>
  <c r="H16" i="7"/>
  <c r="H18" i="7"/>
  <c r="H7" i="7"/>
  <c r="H153" i="7"/>
  <c r="H1083" i="7"/>
  <c r="H987" i="7"/>
  <c r="H315" i="7"/>
  <c r="H1058" i="7"/>
  <c r="H1047" i="7"/>
  <c r="H514" i="7"/>
  <c r="H1001" i="7"/>
  <c r="H1019" i="7"/>
  <c r="H782" i="7"/>
  <c r="H997" i="7"/>
  <c r="H34" i="7"/>
  <c r="H572" i="7"/>
  <c r="H101" i="7"/>
  <c r="H702" i="7"/>
  <c r="H1194" i="7"/>
  <c r="H280" i="7"/>
  <c r="H757" i="7"/>
  <c r="H1007" i="7"/>
  <c r="H1100" i="7"/>
  <c r="H624" i="7"/>
  <c r="H312" i="7"/>
  <c r="H402" i="7"/>
  <c r="H74" i="7"/>
  <c r="H789" i="7"/>
  <c r="H742" i="7"/>
  <c r="H677" i="7"/>
  <c r="H778" i="7"/>
  <c r="H846" i="7"/>
  <c r="H488" i="7"/>
  <c r="H1111" i="7"/>
  <c r="H1022" i="7"/>
  <c r="H1134" i="7"/>
  <c r="H1199" i="7"/>
  <c r="H743" i="7"/>
  <c r="H254" i="7"/>
  <c r="H708" i="7"/>
  <c r="H651" i="7"/>
  <c r="H313" i="7"/>
  <c r="H1087" i="7"/>
  <c r="H1119" i="7"/>
  <c r="H1189" i="7"/>
  <c r="H513" i="7"/>
  <c r="H95" i="7"/>
  <c r="H1027" i="7"/>
  <c r="H179" i="7"/>
  <c r="H797" i="7"/>
  <c r="H367" i="7"/>
  <c r="H1148" i="7"/>
  <c r="H381" i="7"/>
  <c r="H978" i="7"/>
  <c r="H632" i="7"/>
  <c r="H184" i="7"/>
  <c r="H633" i="7"/>
  <c r="H980" i="7"/>
  <c r="H38" i="7"/>
  <c r="H1099" i="7"/>
  <c r="H1121" i="7"/>
  <c r="H826" i="7"/>
  <c r="H657" i="7"/>
  <c r="H907" i="7"/>
  <c r="H226" i="7"/>
  <c r="H1217" i="7"/>
  <c r="H94" i="7"/>
  <c r="H1056" i="7"/>
  <c r="H111" i="7"/>
  <c r="H713" i="7"/>
  <c r="H569" i="7"/>
  <c r="H463" i="7"/>
  <c r="H67" i="7"/>
  <c r="H848" i="7"/>
  <c r="H615" i="7"/>
  <c r="H1156" i="7"/>
  <c r="H911" i="7"/>
  <c r="H1074" i="7"/>
  <c r="H1128" i="7"/>
  <c r="H352" i="7"/>
  <c r="H117" i="7"/>
  <c r="H137" i="7"/>
  <c r="H170" i="7"/>
  <c r="H893" i="7"/>
  <c r="H11" i="7"/>
  <c r="H8" i="7"/>
  <c r="H214" i="7"/>
  <c r="H1030" i="7"/>
  <c r="H871" i="7"/>
  <c r="H321" i="7"/>
  <c r="H221" i="7"/>
  <c r="H306" i="7"/>
  <c r="H256" i="7"/>
  <c r="H617" i="7"/>
  <c r="H1216" i="7"/>
  <c r="H837" i="7"/>
  <c r="H1177" i="7"/>
  <c r="H1214" i="7"/>
  <c r="H296" i="7"/>
  <c r="H889" i="7"/>
  <c r="H928" i="7"/>
  <c r="H501" i="7"/>
  <c r="H89" i="7"/>
  <c r="H561" i="7"/>
  <c r="H54" i="7"/>
  <c r="H607" i="7"/>
  <c r="H638" i="7"/>
  <c r="H1197" i="7"/>
  <c r="H736" i="7"/>
  <c r="H1182" i="7"/>
  <c r="H614" i="7"/>
  <c r="H439" i="7"/>
  <c r="H623" i="7"/>
  <c r="H1096" i="7"/>
  <c r="H55" i="7"/>
  <c r="H967" i="7"/>
  <c r="H784" i="7"/>
  <c r="H85" i="7"/>
  <c r="H715" i="7"/>
  <c r="H52" i="7"/>
  <c r="H146" i="7"/>
  <c r="H147" i="7"/>
  <c r="H411" i="7"/>
  <c r="H777" i="7"/>
  <c r="H290" i="7"/>
  <c r="H1113" i="7"/>
  <c r="H21" i="7"/>
  <c r="H845" i="7"/>
  <c r="H1144" i="7"/>
  <c r="H432" i="7"/>
  <c r="H900" i="7"/>
  <c r="H508" i="7"/>
  <c r="H984" i="7"/>
  <c r="H556" i="7"/>
  <c r="H1072" i="7"/>
  <c r="H327" i="7"/>
  <c r="H612" i="7"/>
  <c r="H50" i="7"/>
  <c r="H952" i="7"/>
  <c r="H1068" i="7"/>
  <c r="H1114" i="7"/>
  <c r="H943" i="7"/>
  <c r="H437" i="7"/>
  <c r="H565" i="7"/>
  <c r="H1077" i="7"/>
  <c r="H838" i="7"/>
  <c r="H1051" i="7"/>
  <c r="H1112" i="7"/>
  <c r="H1117" i="7"/>
  <c r="H394" i="7"/>
  <c r="H692" i="7"/>
  <c r="H347" i="7"/>
  <c r="H66" i="7"/>
  <c r="H473" i="7"/>
  <c r="H1107" i="7"/>
  <c r="H1002" i="7"/>
  <c r="H550" i="7"/>
  <c r="H970" i="7"/>
  <c r="H887" i="7"/>
  <c r="H418" i="7"/>
  <c r="H1062" i="7"/>
  <c r="H1057" i="7"/>
  <c r="H957" i="7"/>
  <c r="H157" i="7"/>
  <c r="H1061" i="7"/>
  <c r="H593" i="7"/>
  <c r="H158" i="7"/>
  <c r="H262" i="7"/>
  <c r="H763" i="7"/>
  <c r="H758" i="7"/>
  <c r="H99" i="7"/>
  <c r="H190" i="7"/>
  <c r="H896" i="7"/>
  <c r="H601" i="7"/>
  <c r="H370" i="7"/>
  <c r="H431" i="7"/>
  <c r="H355" i="7"/>
  <c r="H334" i="7"/>
  <c r="H264" i="7"/>
  <c r="H1103" i="7"/>
  <c r="H204" i="7"/>
  <c r="H806" i="7"/>
  <c r="H405" i="7"/>
  <c r="H1037" i="7"/>
  <c r="H790" i="7"/>
  <c r="H644" i="7"/>
  <c r="H291" i="7"/>
  <c r="H182" i="7"/>
  <c r="H1029" i="7"/>
  <c r="H90" i="7"/>
  <c r="H106" i="7"/>
  <c r="H862" i="7"/>
  <c r="H69" i="7"/>
  <c r="H1127" i="7"/>
  <c r="H43" i="7"/>
  <c r="H905" i="7"/>
  <c r="H954" i="7"/>
  <c r="H123" i="7"/>
  <c r="H669" i="7"/>
  <c r="H631" i="7"/>
  <c r="H609" i="7"/>
  <c r="H391" i="7"/>
  <c r="H1198" i="7"/>
  <c r="H652" i="7"/>
  <c r="H231" i="7"/>
  <c r="H528" i="7"/>
  <c r="H658" i="7"/>
  <c r="H869" i="7"/>
  <c r="H585" i="7"/>
  <c r="H660" i="7"/>
  <c r="H534" i="7"/>
  <c r="H611" i="7"/>
  <c r="H540" i="7"/>
  <c r="H961" i="7"/>
  <c r="H965" i="7"/>
  <c r="H1079" i="7"/>
  <c r="H1011" i="7"/>
  <c r="H1125" i="7"/>
  <c r="H649" i="7"/>
  <c r="H788" i="7"/>
  <c r="H859" i="7"/>
  <c r="H224" i="7"/>
  <c r="H266" i="7"/>
  <c r="H749" i="7"/>
  <c r="H684" i="7"/>
  <c r="H897" i="7"/>
  <c r="H735" i="7"/>
  <c r="H938" i="7"/>
  <c r="H1191" i="7"/>
  <c r="H44" i="7"/>
  <c r="H289" i="7"/>
  <c r="H1212" i="7"/>
  <c r="H770" i="7"/>
  <c r="H28" i="7"/>
  <c r="H920" i="7"/>
  <c r="H647" i="7"/>
  <c r="H1089" i="7"/>
  <c r="H873" i="7"/>
  <c r="H450" i="7"/>
  <c r="H973" i="7"/>
  <c r="H992" i="7"/>
  <c r="H498" i="7"/>
  <c r="H1159" i="7"/>
  <c r="H551" i="7"/>
  <c r="H537" i="7"/>
  <c r="H1172" i="7"/>
  <c r="H579" i="7"/>
  <c r="H340" i="7"/>
  <c r="H1020" i="7"/>
  <c r="H302" i="7"/>
  <c r="H108" i="7"/>
  <c r="H1196" i="7"/>
  <c r="H454" i="7"/>
  <c r="H417" i="7"/>
  <c r="H12" i="7"/>
  <c r="H464" i="7"/>
  <c r="H927" i="7"/>
  <c r="H148" i="7"/>
  <c r="H493" i="7"/>
  <c r="H807" i="7"/>
  <c r="H752" i="7"/>
  <c r="H822" i="7"/>
  <c r="H729" i="7"/>
  <c r="H963" i="7"/>
  <c r="H135" i="7"/>
  <c r="H941" i="7"/>
  <c r="H211" i="7"/>
  <c r="H1104" i="7"/>
  <c r="H1143" i="7"/>
  <c r="H342" i="7"/>
  <c r="H924" i="7"/>
  <c r="H1137" i="7"/>
  <c r="H937" i="7"/>
  <c r="H75" i="7"/>
  <c r="H875" i="7"/>
  <c r="H272" i="7"/>
  <c r="H229" i="7"/>
  <c r="H800" i="7"/>
  <c r="H243" i="7"/>
  <c r="H412" i="7"/>
  <c r="H552" i="7"/>
  <c r="H1021" i="7"/>
  <c r="H861" i="7"/>
  <c r="H700" i="7"/>
  <c r="H238" i="7"/>
  <c r="H1095" i="7"/>
  <c r="H1210" i="7"/>
  <c r="H122" i="7"/>
  <c r="H217" i="7"/>
  <c r="H761" i="7"/>
  <c r="H1206" i="7"/>
  <c r="H1106" i="7"/>
  <c r="H421" i="7"/>
  <c r="H994" i="7"/>
  <c r="H636" i="7"/>
  <c r="H468" i="7"/>
  <c r="H529" i="7"/>
  <c r="H864" i="7"/>
  <c r="H267" i="7"/>
  <c r="H308" i="7"/>
  <c r="H1179" i="7"/>
  <c r="H83" i="7"/>
  <c r="H779" i="7"/>
  <c r="H196" i="7"/>
  <c r="H1085" i="7"/>
  <c r="H403" i="7"/>
  <c r="H374" i="7"/>
  <c r="H532" i="7"/>
  <c r="H1218" i="7"/>
  <c r="H567" i="7"/>
  <c r="H511" i="7"/>
  <c r="H531" i="7"/>
  <c r="H750" i="7"/>
  <c r="H553" i="7"/>
  <c r="H1130" i="7"/>
  <c r="H494" i="7"/>
  <c r="H1122" i="7"/>
  <c r="H860" i="7"/>
  <c r="H486" i="7"/>
  <c r="H863" i="7"/>
  <c r="H1115" i="7"/>
  <c r="H457" i="7"/>
  <c r="H1181" i="7"/>
  <c r="H580" i="7"/>
  <c r="H343" i="7"/>
  <c r="H1081" i="7"/>
  <c r="H621" i="7"/>
  <c r="H884" i="7"/>
  <c r="H26" i="7"/>
  <c r="H564" i="7"/>
  <c r="H1136" i="7"/>
  <c r="H339" i="7"/>
  <c r="H485" i="7"/>
  <c r="H186" i="7"/>
  <c r="H583" i="7"/>
  <c r="H809" i="7"/>
  <c r="H234" i="7"/>
  <c r="H477" i="7"/>
  <c r="H554" i="7"/>
  <c r="H1024" i="7"/>
  <c r="H336" i="7"/>
  <c r="H393" i="7"/>
  <c r="H522" i="7"/>
  <c r="H25" i="7"/>
  <c r="H855" i="7"/>
  <c r="H681" i="7"/>
  <c r="H685" i="7"/>
  <c r="H773" i="7"/>
  <c r="H240" i="7"/>
  <c r="H1155" i="7"/>
  <c r="H293" i="7"/>
  <c r="H1013" i="7"/>
  <c r="H400" i="7"/>
  <c r="H668" i="7"/>
  <c r="H890" i="7"/>
  <c r="H199" i="7"/>
  <c r="H32" i="7"/>
  <c r="H227" i="7"/>
  <c r="H578" i="7"/>
  <c r="H180" i="7"/>
  <c r="H220" i="7"/>
  <c r="H1044" i="7"/>
  <c r="H983" i="7"/>
  <c r="H921" i="7"/>
  <c r="H718" i="7"/>
  <c r="H212" i="7"/>
  <c r="H332" i="7"/>
  <c r="H670" i="7"/>
  <c r="H359" i="7"/>
  <c r="H223" i="7"/>
  <c r="H604" i="7"/>
  <c r="H739" i="7"/>
  <c r="H596" i="7"/>
  <c r="H530" i="7"/>
  <c r="H883" i="7"/>
  <c r="H558" i="7"/>
  <c r="H680" i="7"/>
  <c r="H895" i="7"/>
  <c r="H945" i="7"/>
  <c r="H192" i="7"/>
  <c r="H323" i="7"/>
  <c r="H999" i="7"/>
  <c r="H1165" i="7"/>
  <c r="H1168" i="7"/>
  <c r="H357" i="7"/>
  <c r="H1032" i="7"/>
  <c r="H163" i="7"/>
  <c r="H1000" i="7"/>
  <c r="H825" i="7"/>
  <c r="H138" i="7"/>
  <c r="H378" i="7"/>
  <c r="H461" i="7"/>
  <c r="H793" i="7"/>
  <c r="H1017" i="7"/>
  <c r="H653" i="7"/>
  <c r="H181" i="7"/>
  <c r="H80" i="7"/>
  <c r="H673" i="7"/>
  <c r="H188" i="7"/>
  <c r="H1023" i="7"/>
  <c r="H102" i="7"/>
  <c r="H285" i="7"/>
  <c r="H727" i="7"/>
  <c r="H759" i="7"/>
  <c r="H689" i="7"/>
  <c r="H57" i="7"/>
  <c r="H703" i="7"/>
  <c r="H58" i="7"/>
  <c r="H590" i="7"/>
  <c r="H543" i="7"/>
  <c r="H693" i="7"/>
  <c r="H810" i="7"/>
  <c r="H599" i="7"/>
  <c r="H471" i="7"/>
  <c r="H61" i="7"/>
  <c r="H840" i="7"/>
  <c r="H36" i="7"/>
  <c r="H288" i="7"/>
  <c r="H1208" i="7"/>
  <c r="H389" i="7"/>
  <c r="H65" i="7"/>
  <c r="H1158" i="7"/>
  <c r="H744" i="7"/>
  <c r="H60" i="7"/>
  <c r="H608" i="7"/>
</calcChain>
</file>

<file path=xl/comments1.xml><?xml version="1.0" encoding="utf-8"?>
<comments xmlns="http://schemas.openxmlformats.org/spreadsheetml/2006/main">
  <authors>
    <author>Jo Ann</author>
  </authors>
  <commentList>
    <comment ref="Q16" authorId="0" shapeId="0">
      <text>
        <r>
          <rPr>
            <b/>
            <sz val="8"/>
            <color indexed="81"/>
            <rFont val="Tahoma"/>
            <family val="2"/>
          </rPr>
          <t>SERVICE</t>
        </r>
        <r>
          <rPr>
            <sz val="8"/>
            <color indexed="81"/>
            <rFont val="Tahoma"/>
            <family val="2"/>
          </rPr>
          <t xml:space="preserve">
To enable dropdown for Service, Division dropdown must be blank first</t>
        </r>
      </text>
    </comment>
    <comment ref="Q21" authorId="0" shapeId="0">
      <text>
        <r>
          <rPr>
            <b/>
            <sz val="8"/>
            <color indexed="81"/>
            <rFont val="Tahoma"/>
            <family val="2"/>
          </rPr>
          <t>DIVISION</t>
        </r>
        <r>
          <rPr>
            <sz val="8"/>
            <color indexed="81"/>
            <rFont val="Tahoma"/>
            <family val="2"/>
          </rPr>
          <t xml:space="preserve">
Choose the Division under selected Service</t>
        </r>
      </text>
    </comment>
    <comment ref="V49" authorId="0" shapeId="0">
      <text>
        <r>
          <rPr>
            <b/>
            <sz val="9"/>
            <color indexed="81"/>
            <rFont val="Tahoma"/>
            <charset val="1"/>
          </rPr>
          <t>Select Signatory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<sst xmlns="http://schemas.openxmlformats.org/spreadsheetml/2006/main" count="1230" uniqueCount="1219">
  <si>
    <t>MDS Check</t>
  </si>
  <si>
    <t>Commercial Check</t>
  </si>
  <si>
    <t>Payee</t>
  </si>
  <si>
    <t>Address</t>
  </si>
  <si>
    <t>A.</t>
  </si>
  <si>
    <t>Date</t>
  </si>
  <si>
    <t>Signature</t>
  </si>
  <si>
    <t>Printed Name</t>
  </si>
  <si>
    <t>Position</t>
  </si>
  <si>
    <t>Responsibility Center</t>
  </si>
  <si>
    <t>JEV  No.</t>
  </si>
  <si>
    <t>Particulars</t>
  </si>
  <si>
    <t>Amount</t>
  </si>
  <si>
    <t>Mode of Payment</t>
  </si>
  <si>
    <t>DISBURSEMENT  VOUCHER</t>
  </si>
  <si>
    <t>Approved for Payment</t>
  </si>
  <si>
    <t>B.</t>
  </si>
  <si>
    <t xml:space="preserve"> Cash available</t>
  </si>
  <si>
    <t xml:space="preserve"> Subject to Authority to Debit Account (when applicable)</t>
  </si>
  <si>
    <t>Amount Due</t>
  </si>
  <si>
    <t>Account Title</t>
  </si>
  <si>
    <t>Debit</t>
  </si>
  <si>
    <t>Credit</t>
  </si>
  <si>
    <t>C.</t>
  </si>
  <si>
    <t>MFO/PAP</t>
  </si>
  <si>
    <t>Entity Name</t>
  </si>
  <si>
    <t>Certified:</t>
  </si>
  <si>
    <t xml:space="preserve"> Accounting Entry:</t>
  </si>
  <si>
    <t xml:space="preserve">E. </t>
  </si>
  <si>
    <t xml:space="preserve">Receipt of Payment </t>
  </si>
  <si>
    <t xml:space="preserve">Fund Cluster : </t>
  </si>
  <si>
    <t>Date :</t>
  </si>
  <si>
    <t>DV No. :</t>
  </si>
  <si>
    <t>Bank Name &amp; Account Number:</t>
  </si>
  <si>
    <t>Check/   ADA No. :</t>
  </si>
  <si>
    <t>Signature :</t>
  </si>
  <si>
    <t>Printed Name:</t>
  </si>
  <si>
    <t>Official Receipt No. &amp; Date/Other Documents</t>
  </si>
  <si>
    <t>Others (Please specify)</t>
  </si>
  <si>
    <t>_________________</t>
  </si>
  <si>
    <t>Appendix 32</t>
  </si>
  <si>
    <t xml:space="preserve"> Certified:  Expenses/Cash Advance necessary,  lawful and  incurred under my direct supervision.</t>
  </si>
  <si>
    <t xml:space="preserve"> Printed Name, Designation and Signature of Supervisor</t>
  </si>
  <si>
    <t xml:space="preserve">ORS/BURS No.: </t>
  </si>
  <si>
    <t>TIN/Employee No.:</t>
  </si>
  <si>
    <t>UACS Code</t>
  </si>
  <si>
    <t>BUREAU OF LOCAL GOVERNMENT FINANCE</t>
  </si>
  <si>
    <t>Regular Agency Fund</t>
  </si>
  <si>
    <t>____________________________________________________________</t>
  </si>
  <si>
    <t>JOCELYN T. PENDON</t>
  </si>
  <si>
    <t>OIC-Executive Director</t>
  </si>
  <si>
    <t>JOSE ARNOLD M. TAN, CESO V</t>
  </si>
  <si>
    <t>Director II, Policy Enforcement Service</t>
  </si>
  <si>
    <t>JO ANN T. MENDOZA</t>
  </si>
  <si>
    <t>Accountant III</t>
  </si>
  <si>
    <t>Cash-Modified Disbursement System (MDS), Regular</t>
  </si>
  <si>
    <t>Business Related Fund</t>
  </si>
  <si>
    <t xml:space="preserve"> Supporting documents complete and amount claimed proper</t>
  </si>
  <si>
    <t>LDDAP-ADA</t>
  </si>
  <si>
    <t>Legal Service</t>
  </si>
  <si>
    <t>Legal Division</t>
  </si>
  <si>
    <t>Internal Affairs Division</t>
  </si>
  <si>
    <t>Project Execution &amp; Management Division</t>
  </si>
  <si>
    <t>Local Treasury Operations Division</t>
  </si>
  <si>
    <t>Local Assessment Operation Division</t>
  </si>
  <si>
    <t>Financial and Management Division</t>
  </si>
  <si>
    <t>Administrative Division</t>
  </si>
  <si>
    <t>Information Systems Management Division</t>
  </si>
  <si>
    <t>Local Fiscal Policy Service</t>
  </si>
  <si>
    <t>Policy, Planning, Programming and Standards Division</t>
  </si>
  <si>
    <t>Local Financial Data Analysis Division</t>
  </si>
  <si>
    <t>Local Debt Monitoring and Evaluation Division</t>
  </si>
  <si>
    <t>Local Government Units Operations Service</t>
  </si>
  <si>
    <t>Capacity Building Division</t>
  </si>
  <si>
    <t>Administrative Financial and Management Service</t>
  </si>
  <si>
    <t>D.</t>
  </si>
  <si>
    <t>UACS</t>
  </si>
  <si>
    <t>Check Duplicates</t>
  </si>
  <si>
    <t>Object Code</t>
  </si>
  <si>
    <t>RCA</t>
  </si>
  <si>
    <t>Cash-Collecting Officers</t>
  </si>
  <si>
    <t>Petty Cash</t>
  </si>
  <si>
    <t>Cash in Bank-Local Currency, Bangko Sentral ng Pilipinas</t>
  </si>
  <si>
    <t>Cash in Bank-Local Currency, Current Account-Allied Bank</t>
  </si>
  <si>
    <t>Cash in Bank-Local Currency, Current Account-Amanah Bank</t>
  </si>
  <si>
    <t>Cash in Bank-Local Currency, Current Account-Asia United Bank Corporation</t>
  </si>
  <si>
    <t>Cash in Bank-Local Currency, Current Account-Australia and New Zealand Bank</t>
  </si>
  <si>
    <t>Cash in Bank-Local Currency, Current Account-Banco de Oro (BDO)</t>
  </si>
  <si>
    <t>Cash in Bank-Local Currency, Current Account-Bangkok Bank</t>
  </si>
  <si>
    <t>Cash in Bank-Local Currency, Current Account-Bangkok Bank Public Company Limited</t>
  </si>
  <si>
    <t>Cash in Bank-Local Currency, Current Account-Bank of China</t>
  </si>
  <si>
    <t>Cash in Bank-Local Currency, Current Account-Bank of Commerce</t>
  </si>
  <si>
    <t>Cash in Bank-Local Currency, Current Account-Bank of the Philippine Islands (BPI)</t>
  </si>
  <si>
    <t>Cash in Bank-Local Currency, Current Account-Bank of Tokyo</t>
  </si>
  <si>
    <t>Cash in Bank-Local Currency, Current Account-China Banking Corporation</t>
  </si>
  <si>
    <t>Cash in Bank-Local Currency, Current Account-Chinatrust Commercial Bank</t>
  </si>
  <si>
    <t>Cash in Bank-Local Currency, Current Account-Citibank</t>
  </si>
  <si>
    <t>Cash in Bank-Local Currency, Current Account-Deutsche Bank AG</t>
  </si>
  <si>
    <t>Cash in Bank-Local Currency, Current Account-Development Bank of the Philippines (DBP)</t>
  </si>
  <si>
    <t>Cash in Bank-Local Currency, Current Account-East-West Banking Corporation</t>
  </si>
  <si>
    <t>Cash in Bank-Local Currency, Current Account-Equitable PCI Bank</t>
  </si>
  <si>
    <t>Cash in Bank-Local Currency, Current Account-First Consolidated Bank (FCB)</t>
  </si>
  <si>
    <t>Cash in Bank-Local Currency, Current Account-Fuji-Mizuho Bank</t>
  </si>
  <si>
    <t>Cash in Bank-Local Currency, Current Account-Hong Kong and Shanghai Banking Corp</t>
  </si>
  <si>
    <t>Cash in Bank-Local Currency, Current Account-International Commercial Bank of China</t>
  </si>
  <si>
    <t>Cash in Bank-Local Currency, Current Account-International Exchange Bank</t>
  </si>
  <si>
    <t>Cash in Bank-Local Currency, Current Account-Land Bank of the Philippines ( LBP)</t>
  </si>
  <si>
    <t>Cash in Bank-Local Currency, Current Account-Maybank Philippines</t>
  </si>
  <si>
    <t>Cash in Bank-Local Currency, Current Account-Metropolitan and Trust Co</t>
  </si>
  <si>
    <t>Cash in Bank-Local Currency, Current Account-Philippine Bank of Communications</t>
  </si>
  <si>
    <t>Cash in Bank-Local Currency, Current Account-Philippine Business Bank</t>
  </si>
  <si>
    <t>Cash in Bank-Local Currency, Current Account-Philippine National Bank (PNB)</t>
  </si>
  <si>
    <t>Cash in Bank-Local Currency, Current Account-Philippine Postal Savings Bank (PPSB)</t>
  </si>
  <si>
    <t>Cash in Bank-Local Currency, Current Account-Philippine Trust Company</t>
  </si>
  <si>
    <t>Cash in Bank-Local Currency, Current Account-Philippine Veterans Bank (PVB)</t>
  </si>
  <si>
    <t>Cash in Bank-Local Currency, Current Account-Rizal Commercial Banking Corp (RCBC)</t>
  </si>
  <si>
    <t>Cash in Bank-Local Currency, Current Account-Robinsons Bank</t>
  </si>
  <si>
    <t>Cash in Bank-Local Currency, Current Account-Security Bank</t>
  </si>
  <si>
    <t>Cash in Bank-Local Currency, Current Account-Standard Chartered Bank</t>
  </si>
  <si>
    <t>Cash in Bank-Local Currency, Current Account-Sterling Bank of Asia</t>
  </si>
  <si>
    <t>Cash in Bank-Local Currency, Current Account-Union Bank of the Philippines</t>
  </si>
  <si>
    <t>Cash in Bank-Local Currency, Current Account-United Coconut Planters Bank (UCPB)</t>
  </si>
  <si>
    <t>Cash in Bank-Local Currency, Savings Accounts-LBP</t>
  </si>
  <si>
    <t>Cash in Bank-Local Currency, Savings Accounts-DBP</t>
  </si>
  <si>
    <t>Cash in Bank-Local Currency, Savings Accounts-PVB</t>
  </si>
  <si>
    <t>Cash in Bank-Local Currency, Savings Accounts-PNB</t>
  </si>
  <si>
    <t>Cash in Bank-Local Currency, Savings Accounts-Philippine Amanah Bank (PAB)</t>
  </si>
  <si>
    <t>Cash in Bank-Local Currency, Savings Accounts-Philippine Post Savings Bank (PPSB)</t>
  </si>
  <si>
    <t>Cash in Bank-Local Currency, Savings Accounts-UCPB</t>
  </si>
  <si>
    <t>Cash in Bank-Local Currency, Time Deposits-LBP</t>
  </si>
  <si>
    <t>Cash in Bank-Local Currency, Time Deposits-DBP</t>
  </si>
  <si>
    <t>Cash in Bank-Local Currency, Time Deposits-PVB</t>
  </si>
  <si>
    <t>Cash in Bank-Local Currency, Time Deposits-PNB</t>
  </si>
  <si>
    <t>Cash in Bank-Local Currency, Time Deposits-UCPB</t>
  </si>
  <si>
    <t>Cash in Bank-Foreign Currency, Bangko Sentral ng Pilipinas</t>
  </si>
  <si>
    <t>Cash in Bank-Foreign Currency, Current Account</t>
  </si>
  <si>
    <t>Cash in Bank-Foreign Currency, Savings Account-LBP</t>
  </si>
  <si>
    <t>Cash in Bank-Foreign Currency, Savings Account-DBP</t>
  </si>
  <si>
    <t>Cash in Bank-Foreign Currency, Savings Account-PNB</t>
  </si>
  <si>
    <t>Cash in Bank-Foreign Currency, Savings Account-UCPB</t>
  </si>
  <si>
    <t>Cash in Bank-Foreign Currency, Time Deposits-LBP</t>
  </si>
  <si>
    <t>Cash in Bank-Foreign Currency, Time Deposits-DBP</t>
  </si>
  <si>
    <t>Cash in Bank-Foreign Currency, Time Deposits-PNB</t>
  </si>
  <si>
    <t>Cash in Bank-Foreign Currency, Time Deposits-UCPB</t>
  </si>
  <si>
    <t>Cash-Treasury/Agency Deposit, Regular</t>
  </si>
  <si>
    <t>Cash-Treasury/Agency Deposit, Special Account</t>
  </si>
  <si>
    <t>Cash-Treasury/Agency Deposit, Trust</t>
  </si>
  <si>
    <t>Cash-Modified Disbursement System (MDS), Special Account</t>
  </si>
  <si>
    <t>Cash-Modified Disbursement System (MDS), Trust</t>
  </si>
  <si>
    <t>Cash-Tax Remittance Advice</t>
  </si>
  <si>
    <t>Cash-Constructive Income Remittance</t>
  </si>
  <si>
    <t>Treasury Bills</t>
  </si>
  <si>
    <t>Financial Assets Held for Trading</t>
  </si>
  <si>
    <t>Financial Assets Designated at Fair Value Through Surplus or Deficit</t>
  </si>
  <si>
    <t>Derivative Financial Assets Held for Trading</t>
  </si>
  <si>
    <t>Derivative Financial Assets Designated at Fair Value Through Surplus or Deficit</t>
  </si>
  <si>
    <t>Investments in Treasury Bills-Local</t>
  </si>
  <si>
    <t>Allowance for Impairment-Investments in Treasury Bills-Local</t>
  </si>
  <si>
    <t>Investments in Treasury Bills-Foreign</t>
  </si>
  <si>
    <t>Allowance for Impairment-Investments in Treasury Bills-Foreign</t>
  </si>
  <si>
    <t>Investments in Treasury Bonds-Local</t>
  </si>
  <si>
    <t>Allowance for Impairment-Investments in Treasury Bonds-Local</t>
  </si>
  <si>
    <t>Investments in Treasury Bonds-Foreign</t>
  </si>
  <si>
    <t>Allowance for Impairment-Investments in Treasury Bonds-Foreign</t>
  </si>
  <si>
    <t>Investments in Stocks</t>
  </si>
  <si>
    <t>Investments in Bonds</t>
  </si>
  <si>
    <t>Other Investments</t>
  </si>
  <si>
    <t>Investments in GOCCs</t>
  </si>
  <si>
    <t>Allowance for Impairment-Investments in GOCCs</t>
  </si>
  <si>
    <t>Investments in Joint Venture</t>
  </si>
  <si>
    <t>Allowance for Impairment-Investments in Joint Venture</t>
  </si>
  <si>
    <t>Investments in Associates</t>
  </si>
  <si>
    <t>Allowance for Impairment-Investments in Associates</t>
  </si>
  <si>
    <t>Sinking Fund</t>
  </si>
  <si>
    <t>Accounts Receivable</t>
  </si>
  <si>
    <t>Allowance for Impairment-Accounts Receivable</t>
  </si>
  <si>
    <t>Notes Receivable</t>
  </si>
  <si>
    <t>Allowance for Impairment-Notes Receivable</t>
  </si>
  <si>
    <t>Loans Receivable-Government-Owned and/or Controlled Corporations</t>
  </si>
  <si>
    <t>Allowance for Impairment-Loans Receivable-Government-Owned and/or Controlled Corporations</t>
  </si>
  <si>
    <t>Loans Receivable-Local Government Units</t>
  </si>
  <si>
    <t>Allowance for Impairment-Loans Receivable-Local Government Units</t>
  </si>
  <si>
    <t>Interests Receivable</t>
  </si>
  <si>
    <t>Allowance for Impairment-Interests Receivable</t>
  </si>
  <si>
    <t>Dividends Receivable</t>
  </si>
  <si>
    <t>Loans Receivable-Others</t>
  </si>
  <si>
    <t>Allowance for Impairment-Loans Receivable-Others</t>
  </si>
  <si>
    <t>Operating Lease Receivable</t>
  </si>
  <si>
    <t>Allowance for Impairment-Operating Lease Receivable</t>
  </si>
  <si>
    <t>Finance Lease Receivable</t>
  </si>
  <si>
    <t>Allowance for Impairment-Finance Lease Receivable</t>
  </si>
  <si>
    <t>Due from National Government Agencies</t>
  </si>
  <si>
    <t>Due from Government-Owned and/or Controlled Corporations</t>
  </si>
  <si>
    <t>Due from Local Government Units</t>
  </si>
  <si>
    <t>Due from Joint Venture</t>
  </si>
  <si>
    <t>Due from Central Office</t>
  </si>
  <si>
    <t>Due from Bureaus</t>
  </si>
  <si>
    <t>Due from Regional Offices</t>
  </si>
  <si>
    <t>Due from Operating Units</t>
  </si>
  <si>
    <t>Due from Other Funds</t>
  </si>
  <si>
    <t>Receivables-Disallowances/Charges</t>
  </si>
  <si>
    <t>Due from Officers and Employees</t>
  </si>
  <si>
    <t>Due from Non-Government Organizations/People's Organizations</t>
  </si>
  <si>
    <t>Other Receivables</t>
  </si>
  <si>
    <t>Allowance for Impairment-Other Receivables</t>
  </si>
  <si>
    <t>Merchandise Inventory-Supplies and Materials</t>
  </si>
  <si>
    <t>Merchandise Inventory-Drugs and Medicines</t>
  </si>
  <si>
    <t>Merchandise Inventory-Agricultural Produce</t>
  </si>
  <si>
    <t>Merchandise Inventory-Ammunitions</t>
  </si>
  <si>
    <t>Merchandise Inventory-Property and Equipment</t>
  </si>
  <si>
    <t>Merchandise Inventory-Land/Reclaimed Land</t>
  </si>
  <si>
    <t>Merchandise Inventory-Forest Products</t>
  </si>
  <si>
    <t>Merchandise Inventory-Others</t>
  </si>
  <si>
    <t>Food Supplies for Distribution</t>
  </si>
  <si>
    <t>Welfare Goods for Distribution</t>
  </si>
  <si>
    <t>Drugs and Medicines for Distribution</t>
  </si>
  <si>
    <t>Medical, Dental and Laboratory Supplies for Distribution</t>
  </si>
  <si>
    <t>Agricultural and Marine Supplies for Distribution</t>
  </si>
  <si>
    <t>Agricultural Produce for Distribution</t>
  </si>
  <si>
    <t>Textbooks and Instructional Materials for Distribution</t>
  </si>
  <si>
    <t>Construction Materials for Distribution</t>
  </si>
  <si>
    <t>Property and Equipment for Distribution</t>
  </si>
  <si>
    <t>Other Supplies and Materials for Distribution</t>
  </si>
  <si>
    <t>Raw Materials Inventory</t>
  </si>
  <si>
    <t>Work-In-Process Inventory</t>
  </si>
  <si>
    <t>Finished Goods Inventory</t>
  </si>
  <si>
    <t>Office Supplies Inventory</t>
  </si>
  <si>
    <t>Accountable Forms, Plates and Stickers Inventory</t>
  </si>
  <si>
    <t>Non-Accountable Forms Inventory</t>
  </si>
  <si>
    <t>Animal/Zoological Supplies Inventory</t>
  </si>
  <si>
    <t>Food Supplies Inventory</t>
  </si>
  <si>
    <t>Drugs and Medicines Inventory</t>
  </si>
  <si>
    <t>Medical, Dental and Laboratory Supplies Inventory</t>
  </si>
  <si>
    <t>Fuel, Oil and Lubricants Inventory</t>
  </si>
  <si>
    <t>Agricultural and Marine Supplies Inventory</t>
  </si>
  <si>
    <t>Textbooks and Instructional Materials Inventory</t>
  </si>
  <si>
    <t>Military, Police and Traffic Supplies Inventory</t>
  </si>
  <si>
    <t>Chemical and Filtering Supplies Inventory</t>
  </si>
  <si>
    <t>Construction Materials Inventory</t>
  </si>
  <si>
    <t>Other Supplies and Materials Inventory</t>
  </si>
  <si>
    <t>Semi-Expendable Machinery</t>
  </si>
  <si>
    <t>Semi-Expendable Office Equipment</t>
  </si>
  <si>
    <t>Semi-Expendable Information and Communications Technology Equipment</t>
  </si>
  <si>
    <t>Semi-Expendable Agricultural and Forestry Equipment</t>
  </si>
  <si>
    <t>Semi-Expendable Marine and Fishery Equipment</t>
  </si>
  <si>
    <t>Semi-Expendable Airport Equipment</t>
  </si>
  <si>
    <t>Semi-Expendable Communications Equipment</t>
  </si>
  <si>
    <t>Semi-Expendable Disaster Response and Rescue Equipment</t>
  </si>
  <si>
    <t>Semi-Expendable Military, Police and Security Equipment</t>
  </si>
  <si>
    <t>Semi-Expendable Medical Equipment</t>
  </si>
  <si>
    <t>Semi-Expendable Printing Equipment</t>
  </si>
  <si>
    <t>Semi-Expendable Sports Equipment</t>
  </si>
  <si>
    <t>Semi-Expendable Technical and Scientific Equipment</t>
  </si>
  <si>
    <t>Semi-Expendable Other Machinery and Equipment</t>
  </si>
  <si>
    <t>Semi-Expendable Furniture and Fixtures</t>
  </si>
  <si>
    <t>Semi-Expendable Books</t>
  </si>
  <si>
    <t>Investment Property, Land</t>
  </si>
  <si>
    <t>Accumulated Impairment Losses-Investment Property, Land</t>
  </si>
  <si>
    <t>Investment Property, Buildings</t>
  </si>
  <si>
    <t>Accumulated Depreciation-Investment Property, Buildings</t>
  </si>
  <si>
    <t>Accumulated Impairment Losses-Investment Property, Buildings</t>
  </si>
  <si>
    <t>Construction in Progress-Investment Property, Buildings</t>
  </si>
  <si>
    <t>Land</t>
  </si>
  <si>
    <t>Accumulated Impairment Losses-Land</t>
  </si>
  <si>
    <t>Land Improvements, Aquaculture Structures</t>
  </si>
  <si>
    <t>Accumulated Depreciation-Land Improvements, Aquaculture Structures</t>
  </si>
  <si>
    <t>Accumulated Impairment Losses-Land Improvements, Aquaculture Structures</t>
  </si>
  <si>
    <t>Land Improvements, Reforestation Projects</t>
  </si>
  <si>
    <t>Accumulated Impairment Losses-Land Improvements, Reforestation Projects</t>
  </si>
  <si>
    <t>Other Land Improvements</t>
  </si>
  <si>
    <t>Accumulated Depreciation-Other Land Improvements</t>
  </si>
  <si>
    <t>Accumulated Impairment Losses-Other Land Improvements</t>
  </si>
  <si>
    <t>Road Networks</t>
  </si>
  <si>
    <t>Accumulated Depreciation-Road Networks</t>
  </si>
  <si>
    <t>Accumulated Impairment Losses-Road Networks</t>
  </si>
  <si>
    <t>Flood Control Systems</t>
  </si>
  <si>
    <t>Accumulated Depreciation-Flood Control Systems</t>
  </si>
  <si>
    <t>Accumulated Impairment Losses-Flood Control Systems</t>
  </si>
  <si>
    <t>Sewer Systems</t>
  </si>
  <si>
    <t>Accumulated Depreciation-Sewer Systems</t>
  </si>
  <si>
    <t>Accumulated Impairment Losses-Sewer Systems</t>
  </si>
  <si>
    <t>Water Supply Systems</t>
  </si>
  <si>
    <t>Accumulated Depreciation-Water Supply Systems</t>
  </si>
  <si>
    <t>Accumulated Impairment Losses-Water Supply Systems</t>
  </si>
  <si>
    <t>Power Supply Systems</t>
  </si>
  <si>
    <t>Accumulated Depreciation-Power Supply Systems</t>
  </si>
  <si>
    <t>Accumulated Impairment Losses-Power Supply Systems</t>
  </si>
  <si>
    <t>Communications Networks</t>
  </si>
  <si>
    <t>Accumulated Depreciation-Communications Networks</t>
  </si>
  <si>
    <t>Accumulated Impairment Losses-Communications Networks</t>
  </si>
  <si>
    <t>Seaport Systems</t>
  </si>
  <si>
    <t>Accumulated Depreciation-Seaport Systems</t>
  </si>
  <si>
    <t>Accumulated Impairment Losses-Seaport Systems</t>
  </si>
  <si>
    <t>Airport Systems</t>
  </si>
  <si>
    <t>Accumulated Depreciation-Airport Systems</t>
  </si>
  <si>
    <t>Accumulated Impairment Losses-Airport Systems</t>
  </si>
  <si>
    <t>Parks, Plazas and Monuments</t>
  </si>
  <si>
    <t>Accumulated Depreciation-Parks, Plazas and Monuments</t>
  </si>
  <si>
    <t>Accumulated Impairment Losses-Parks, Plazas and Monuments</t>
  </si>
  <si>
    <t>Railway Systems</t>
  </si>
  <si>
    <t>Accumulated Depreciation-Railway Systems</t>
  </si>
  <si>
    <t>Accumulated Impairment Losses-Railway Systems</t>
  </si>
  <si>
    <t>Other Infrastructure Assets</t>
  </si>
  <si>
    <t>Accumulated Depreciation-Other Infrastructure Assets</t>
  </si>
  <si>
    <t>Accumulated Impairment Losses-Other Infrastructure Assets</t>
  </si>
  <si>
    <t>Buildings</t>
  </si>
  <si>
    <t>Accumulated Depreciation-Buildings</t>
  </si>
  <si>
    <t>Accumulated Impairment Losses-Buildings</t>
  </si>
  <si>
    <t>School Buildings</t>
  </si>
  <si>
    <t>Accumulated Depreciation-School Buildings</t>
  </si>
  <si>
    <t>Accumulated Impairment Losses-School Buildings</t>
  </si>
  <si>
    <t>Hospitals and Health Centers</t>
  </si>
  <si>
    <t>Accumulated Depreciation-Hospitals and Health Centers</t>
  </si>
  <si>
    <t>Accumulated Impairment Losses-Hospitals and Health Centers</t>
  </si>
  <si>
    <t>Markets</t>
  </si>
  <si>
    <t>Accumulated Depreciation-Markets</t>
  </si>
  <si>
    <t>Accumulated Impairment Losses-Markets</t>
  </si>
  <si>
    <t>Slaughterhouses</t>
  </si>
  <si>
    <t>Accumulated Depreciation-Slaughterhouses</t>
  </si>
  <si>
    <t>Accumulated Impairment Losses-Slaughterhouses</t>
  </si>
  <si>
    <t>Hostels and Dormitories</t>
  </si>
  <si>
    <t>Accumulated Depreciation-Hostels and Dormitories</t>
  </si>
  <si>
    <t>Accumulated Impairment Losses-Hostels and Dormitories</t>
  </si>
  <si>
    <t>Other Structures</t>
  </si>
  <si>
    <t>Accumulated Depreciation-Other Structures</t>
  </si>
  <si>
    <t>Accumulated Impairment Losses-Other Structures</t>
  </si>
  <si>
    <t>Machinery</t>
  </si>
  <si>
    <t>Accumulated Depreciation-Machinery</t>
  </si>
  <si>
    <t>Accumulated Impairment Losses-Machinery</t>
  </si>
  <si>
    <t>Office Equipment</t>
  </si>
  <si>
    <t>Accumulated Depreciation-Office Equipment</t>
  </si>
  <si>
    <t>Accumulated Impairment Losses-Office Equipment</t>
  </si>
  <si>
    <t>Information and Communications Technology Equipment</t>
  </si>
  <si>
    <t>Accumulated Depreciation-Information and Communications Technology Equipment</t>
  </si>
  <si>
    <t>Accumulated Impairment Losses-Information and Communications Technology Equipment</t>
  </si>
  <si>
    <t>Agricultural and Forestry Equipment</t>
  </si>
  <si>
    <t>Accumulated Depreciation-Agricultural and Forestry Equipment</t>
  </si>
  <si>
    <t>Accumulated Impairment Losses-Agricultural and Forestry Equipment</t>
  </si>
  <si>
    <t>Marine and Fishery Equipment</t>
  </si>
  <si>
    <t>Accumulated Depreciation-Marine and Fishery Equipment</t>
  </si>
  <si>
    <t>Accumulated Impairment Losses-Marine and Fishery Equipment</t>
  </si>
  <si>
    <t>Airport Equipment</t>
  </si>
  <si>
    <t>Accumulated Depreciation-Airport Equipment</t>
  </si>
  <si>
    <t>Accumulated Impairment Losses-Airport Equipment</t>
  </si>
  <si>
    <t>Communications Equipment</t>
  </si>
  <si>
    <t>Accumulated Depreciation-Communications Equipment</t>
  </si>
  <si>
    <t>Accumulated Impairment Losses-Communications Equipment</t>
  </si>
  <si>
    <t>Construction and Heavy Equipment</t>
  </si>
  <si>
    <t>Accumulated Depreciation-Construction and Heavy Equipment</t>
  </si>
  <si>
    <t>Accumulated Impairment Losses-Construction and Heavy Equipment</t>
  </si>
  <si>
    <t>Disaster Response and Rescue Equipment-Firefighting Equipment and Accessories</t>
  </si>
  <si>
    <t>Disaster Response and Rescue Equipment-Flood and Rescue Equipment</t>
  </si>
  <si>
    <t>Disaster Response and Rescue Equipment-Earthquake Rescue Equipment</t>
  </si>
  <si>
    <t>Disaster Response and Rescue Equipment-Volcanic Eruption Rescue Equipment</t>
  </si>
  <si>
    <t>Disaster Response and Rescue Equipment-Landslide Rescue Equipment</t>
  </si>
  <si>
    <t>Accumulated Depreciation-Disaster Response and Rescue Equipment</t>
  </si>
  <si>
    <t>Accumulated Impairment Losses-Disaster Response and Rescue Equipment</t>
  </si>
  <si>
    <t>Military, Police and Security Equipment</t>
  </si>
  <si>
    <t>Accumulated Depreciation-Military, Police and Security Equipment</t>
  </si>
  <si>
    <t>Accumulated Impairment Losses-Military, Police and Security Equipment</t>
  </si>
  <si>
    <t>Medical Equipment</t>
  </si>
  <si>
    <t>Accumulated Depreciation-Medical Equipment</t>
  </si>
  <si>
    <t>Accumulated Impairment Losses-Medical Equipment</t>
  </si>
  <si>
    <t>Printing Equipment</t>
  </si>
  <si>
    <t>Accumulated Depreciation-Printing Equipment</t>
  </si>
  <si>
    <t>Accumulated Impairment Losses-Printing Equipment</t>
  </si>
  <si>
    <t>Sports Equipment</t>
  </si>
  <si>
    <t>Accumulated Depreciation-Sports Equipment</t>
  </si>
  <si>
    <t>Accumulated Impairment Losses-Sports Equipment</t>
  </si>
  <si>
    <t>Technical and Scientific Equipment</t>
  </si>
  <si>
    <t>Accumulated Depreciation-Technical and Scientific Equipment</t>
  </si>
  <si>
    <t>Accumulated Impairment Losses-Technical and Scientific Equipment</t>
  </si>
  <si>
    <t>Other Machinery and Equipment</t>
  </si>
  <si>
    <t>Accumulated Depreciation-Other Machinery and Equipment</t>
  </si>
  <si>
    <t>Accumulated Impairment Losses-Other Machinery and Equipment</t>
  </si>
  <si>
    <t>Motor Vehicles</t>
  </si>
  <si>
    <t>Accumulated Depreciation-Motor Vehicles</t>
  </si>
  <si>
    <t>Accumulated Impairment Losses-Motor Vehicles</t>
  </si>
  <si>
    <t>Trains</t>
  </si>
  <si>
    <t>Accumulated Depreciation-Trains</t>
  </si>
  <si>
    <t>Accumulated Impairment Losses-Trains</t>
  </si>
  <si>
    <t>Aircrafts and Aircrafts Ground Equipment</t>
  </si>
  <si>
    <t>Accumulated Depreciation-Aircrafts and Aircrafts Ground Equipment</t>
  </si>
  <si>
    <t>Accumulated Impairment Losses-Aircrafts and Aircrafts Ground Equipment</t>
  </si>
  <si>
    <t>Watercrafts</t>
  </si>
  <si>
    <t>Accumulated Depreciation-Watercrafts</t>
  </si>
  <si>
    <t>Accumulated Impairment Losses-Watercrafts</t>
  </si>
  <si>
    <t>Other Transportation Equipment</t>
  </si>
  <si>
    <t>Accumulated Depreciation-Other Transportation Equipment</t>
  </si>
  <si>
    <t>Accumulated Impairment Losses-Other Transportation Equipment</t>
  </si>
  <si>
    <t>Furniture and Fixtures</t>
  </si>
  <si>
    <t>Accumulated Depreciation-Furniture and Fixtures</t>
  </si>
  <si>
    <t>Accumulated Impairment Losses-Furniture and Fixtures</t>
  </si>
  <si>
    <t>Books</t>
  </si>
  <si>
    <t>Accumulated Depreciation-Books</t>
  </si>
  <si>
    <t>Accumulated Impairment Losses-Books</t>
  </si>
  <si>
    <t>Leased Assets, Land</t>
  </si>
  <si>
    <t>Leased Assets, Buildings and Other Structures</t>
  </si>
  <si>
    <t>Accumulated Depreciation-Leased Assets, Buildings and Other Structures</t>
  </si>
  <si>
    <t>Accumulated Impairment Losses-Leased Assets, Buildings and Other Structures</t>
  </si>
  <si>
    <t>Leased Assets, Machinery and Equipment</t>
  </si>
  <si>
    <t>Accumulated Depreciation-Leased Assets, Machinery and Equipment</t>
  </si>
  <si>
    <t>Accumulated Impairment Losses-Leased Assets, Machinery and Equipment</t>
  </si>
  <si>
    <t>Leased Assets, Transportation Equipment</t>
  </si>
  <si>
    <t>Accumulated Depreciation-Leased Assets, Transportation Equipment</t>
  </si>
  <si>
    <t>Accumulated Impairment Losses-Leased Assets, Transportation Equipment</t>
  </si>
  <si>
    <t>Other Leased Assets</t>
  </si>
  <si>
    <t>Accumulated Depreciation-Other Leased Assets</t>
  </si>
  <si>
    <t>Accumulated Impairment Losses-Other Leased Assets</t>
  </si>
  <si>
    <t>Leased Assets Improvements, Land</t>
  </si>
  <si>
    <t>Accumulated Depreciation-Leased Assets Improvements, Land</t>
  </si>
  <si>
    <t>Accumulated Impairment Losses-Leased Assets Improvements, Land</t>
  </si>
  <si>
    <t>Leased Assets Improvements, Buildings</t>
  </si>
  <si>
    <t>Accumulated Depreciation-Leased Assets Improvements, Buildings</t>
  </si>
  <si>
    <t>Accumulated Impairment Losses-Leased Assets Improvements, Buildings</t>
  </si>
  <si>
    <t>Other Leased Assets Improvements</t>
  </si>
  <si>
    <t>Accumulated Depreciation-Other Leased Assets Improvements</t>
  </si>
  <si>
    <t>Accumulated Impairment Losses-Other Leased Assets Improvements</t>
  </si>
  <si>
    <t>Historical Buildings</t>
  </si>
  <si>
    <t>Accumulated Depreciation-Historical Buildings</t>
  </si>
  <si>
    <t>Accumulated Impairment Losses-Historical Buildings</t>
  </si>
  <si>
    <t>Works of Arts and Archeological Specimens</t>
  </si>
  <si>
    <t>Accumulated Depreciation-Works of Arts and Archeological Specimens</t>
  </si>
  <si>
    <t>Accumulated Impairment Losses-Works of Arts and Archeological Specimens</t>
  </si>
  <si>
    <t>Other Heritage Assets</t>
  </si>
  <si>
    <t>Accumulated Depreciation-Other Heritage Assets</t>
  </si>
  <si>
    <t>Accumulated Impairment Losses-Other Heritage Assets</t>
  </si>
  <si>
    <t>Service Concession-Road Networks</t>
  </si>
  <si>
    <t>Accumulated Depreciation-Service Concession-Road Networks</t>
  </si>
  <si>
    <t>Accumulated Impairment Losses-Service Concession-Road Networks</t>
  </si>
  <si>
    <t>Service Concession-Flood Control Systems</t>
  </si>
  <si>
    <t>Accumulated Depreciation-Service Concession-Flood Control Systems</t>
  </si>
  <si>
    <t>Accumulated Impairment Losses-Service Concession-Flood Control Systems</t>
  </si>
  <si>
    <t>Service Concession-Sewer Systems</t>
  </si>
  <si>
    <t>Accumulated Depreciation-Service Concession-Sewer Systems</t>
  </si>
  <si>
    <t>Accumulated Impairment Losses-Service Concession-Sewer Systems</t>
  </si>
  <si>
    <t>Service Concession-Water Supply Systems</t>
  </si>
  <si>
    <t>Accumulated Depreciation-Service Concession-Water Supply Systems</t>
  </si>
  <si>
    <t>Accumulated Impairment Losses-Service Concession-Water Supply Systems</t>
  </si>
  <si>
    <t>Service Concession-Power Supply Systems</t>
  </si>
  <si>
    <t>Accumulated Depreciation-Service Concession-Power Supply Systems</t>
  </si>
  <si>
    <t>Accumulated Impairment Losses-Service Concession-Power Supply Systems</t>
  </si>
  <si>
    <t>Service Concession-Communications Networks</t>
  </si>
  <si>
    <t>Accumulated Depreciation-Service Concession-Communications Networks</t>
  </si>
  <si>
    <t>Accumulated Impairment Losses-Service Concession-Communications Networks</t>
  </si>
  <si>
    <t>Service Concession-Seaport Systems</t>
  </si>
  <si>
    <t>Accumulated Depreciation-Service Concession-Seaport Systems</t>
  </si>
  <si>
    <t>Accumulated Impairment Losses-Service Concession-Seaport Systems</t>
  </si>
  <si>
    <t>Service Concession-Airport Systems</t>
  </si>
  <si>
    <t>Accumulated Depreciation-Service Concession-Airport Systems</t>
  </si>
  <si>
    <t>Accumulated Impairment Losses-Service Concession-Airport Systems</t>
  </si>
  <si>
    <t>Service Concession-Parks, Plazas and Monuments</t>
  </si>
  <si>
    <t>Accumulated Depreciation-Service Concession-Parks, Plazas and Monuments</t>
  </si>
  <si>
    <t>Accumulated Impairment Losses-Service Concession-Parks, Plazas and Monuments</t>
  </si>
  <si>
    <t>Service Concession-Railway Systems</t>
  </si>
  <si>
    <t>Accumulated Depreciation-Service Concession-Railway Systems</t>
  </si>
  <si>
    <t>Accumulated Impairment Losses-Service Concession-Railway Systems</t>
  </si>
  <si>
    <t>Service Concession-Buildings and Other Structures</t>
  </si>
  <si>
    <t>Accumulated Depreciation-Service Concession-Buildings and Other Structures</t>
  </si>
  <si>
    <t>Accumulated Impairment Losses-Service Concession-Buildings and Other Structures</t>
  </si>
  <si>
    <t>Other Service Concession Assets</t>
  </si>
  <si>
    <t>Accumulated Depreciation-Other Service Concession Assets</t>
  </si>
  <si>
    <t>Accumulated Impairment Losses-Other Service Concession Assets</t>
  </si>
  <si>
    <t>Work/Zoo Animals</t>
  </si>
  <si>
    <t>Accumulated Depreciation-Work/Zoo Animals</t>
  </si>
  <si>
    <t>Accumulated Impairment Losses-Work/Zoo Animals</t>
  </si>
  <si>
    <t>Other Property, Plant and Equipment</t>
  </si>
  <si>
    <t>Accumulated Depreciation-Other Property, Plant and Equipment</t>
  </si>
  <si>
    <t>Accumulated Impairment Losses-Other Property, Plant and Equipment</t>
  </si>
  <si>
    <t>Construction in Progress-Land Improvements</t>
  </si>
  <si>
    <t>Construction in Progress-Infrastructure Assets</t>
  </si>
  <si>
    <t>Construction in Progress-Buildings and Other Structures</t>
  </si>
  <si>
    <t>Construction in Progress-Leased Assets</t>
  </si>
  <si>
    <t>Construction in Progress-Leased Assets Improvements</t>
  </si>
  <si>
    <t>Breeding Stocks</t>
  </si>
  <si>
    <t>Accumulated Impairment Losses-Breeding Stocks</t>
  </si>
  <si>
    <t>Livestock</t>
  </si>
  <si>
    <t>Accumulated Impairment Losses-Livestock</t>
  </si>
  <si>
    <t>Trees, Plants and Crops</t>
  </si>
  <si>
    <t>Accumulated Impairment Losses-Trees, Plants and Crops</t>
  </si>
  <si>
    <t>Aquaculture</t>
  </si>
  <si>
    <t>Accumulated Impairment Losses-Aquaculture</t>
  </si>
  <si>
    <t>Other Bearer Biological Assets</t>
  </si>
  <si>
    <t>Accumulated Impairment Losses-Other Bearer Biological Assets</t>
  </si>
  <si>
    <t>Livestock Held for Consumption/Sale/Distribution</t>
  </si>
  <si>
    <t>Accumulated Impairment Losses-Livestock Held for Consumption/Sale/Distribution</t>
  </si>
  <si>
    <t>Trees, Plants and Crops Held for Consumption/Sale/Distribution</t>
  </si>
  <si>
    <t>Accumulated Impairment Losses-Trees, Plants and Crops Held for Consumption/Sale/Distribution</t>
  </si>
  <si>
    <t>Agricultural Produce Held for Consumption/Sale/Distribution</t>
  </si>
  <si>
    <t>Accumulated Impairment Losses-Agricultural Produce Held for Consumption/Sale/Distribution</t>
  </si>
  <si>
    <t>Aquaculture for Consumption/Sale/Distribution</t>
  </si>
  <si>
    <t>Accumulated Impairment Losses-Aquaculture for Consumption/Sale/Distribution</t>
  </si>
  <si>
    <t>Other Consumable Biological Assets</t>
  </si>
  <si>
    <t>Accumulated Impairment Losses-Other Consumable Biological Assets</t>
  </si>
  <si>
    <t>Patents/Copyrights</t>
  </si>
  <si>
    <t>Accumulated Amortization-Patents/Copyrights</t>
  </si>
  <si>
    <t>Accumulated Impairment Losses-Patents/Copyrights</t>
  </si>
  <si>
    <t>Computer Software</t>
  </si>
  <si>
    <t>Accumulated Amortization-Computer Software</t>
  </si>
  <si>
    <t>Accumulated Impairment Losses-Computer Software</t>
  </si>
  <si>
    <t>Websites</t>
  </si>
  <si>
    <t>Accumulated Amortization-Websites</t>
  </si>
  <si>
    <t>Accumulated Impairment Losses-Websites</t>
  </si>
  <si>
    <t>Other Intangible Assets</t>
  </si>
  <si>
    <t>Accumulated Amortization-Other Intangible Assets</t>
  </si>
  <si>
    <t>Accumulated Impairment Losses-Other Intangible Assets</t>
  </si>
  <si>
    <t>Service Concession-Intangible Assets</t>
  </si>
  <si>
    <t>Accumulated Amortization-Service Concession-Intangible Assets</t>
  </si>
  <si>
    <t>Accumulated Impairment Losses-Service Concession-Intangible Assets</t>
  </si>
  <si>
    <t>Development in Progress-Patents/Copyrights</t>
  </si>
  <si>
    <t>Development in Progress-Computer Software</t>
  </si>
  <si>
    <t>Development in Progress-Websites</t>
  </si>
  <si>
    <t>Development in Progress-Other Intangible Assets</t>
  </si>
  <si>
    <t>Advances for Operating Expenses</t>
  </si>
  <si>
    <t>Advances for Payroll</t>
  </si>
  <si>
    <t>Advances to Special Disbursing Officers</t>
  </si>
  <si>
    <t>Advances to Officers and Employees</t>
  </si>
  <si>
    <t>Advances to Contractors</t>
  </si>
  <si>
    <t>Prepaid Rent</t>
  </si>
  <si>
    <t>Prepaid Registration</t>
  </si>
  <si>
    <t>Prepaid Interest</t>
  </si>
  <si>
    <t>Prepaid Insurance</t>
  </si>
  <si>
    <t>Other Prepayments</t>
  </si>
  <si>
    <t>Deposits on Letters of Credit</t>
  </si>
  <si>
    <t>Guaranty Deposits</t>
  </si>
  <si>
    <t>Other Deposits</t>
  </si>
  <si>
    <t>Acquired Assets</t>
  </si>
  <si>
    <t>Accumulated Impairment Losses-Acquired Assets</t>
  </si>
  <si>
    <t>Foreclosed Property/Assets</t>
  </si>
  <si>
    <t>Accumulated Impairment Losses-Foreclosed Property/Assets</t>
  </si>
  <si>
    <t>Forfeited Property/Assets</t>
  </si>
  <si>
    <t>Accumulated Impairment Losses-Forfeited Property/Assets</t>
  </si>
  <si>
    <t>Confiscated Property/Assets</t>
  </si>
  <si>
    <t>Accumulated Impairment Losses-Confiscated Property/Assets</t>
  </si>
  <si>
    <t>Abandoned/Surrendered Property/Assets</t>
  </si>
  <si>
    <t>Accumulated Impairment Losses-Abandoned/Surrendered Property/Assets</t>
  </si>
  <si>
    <t>Other Assets</t>
  </si>
  <si>
    <t>Accumulated Impairment Losses-Other Assets</t>
  </si>
  <si>
    <t>Accounts Payable</t>
  </si>
  <si>
    <t>Due to Officers and Employees</t>
  </si>
  <si>
    <t>Internal Revenue Allotment Payable</t>
  </si>
  <si>
    <t>Notes Payable</t>
  </si>
  <si>
    <t>Interest Payable</t>
  </si>
  <si>
    <t>Operating Lease Payable</t>
  </si>
  <si>
    <t>Finance Lease Payable</t>
  </si>
  <si>
    <t>Awards and Rewards Payable</t>
  </si>
  <si>
    <t>Service Concession Arrangements Payable</t>
  </si>
  <si>
    <t>Treasury Bills Payable</t>
  </si>
  <si>
    <t>Bonds Payable-Domestic</t>
  </si>
  <si>
    <t>Discount on Bonds Payable-Domestic</t>
  </si>
  <si>
    <t>Premium on Bonds Payable-Domestic</t>
  </si>
  <si>
    <t>Bond Issue Cost-Domestic</t>
  </si>
  <si>
    <t>Bonds Payable-Foreign</t>
  </si>
  <si>
    <t>Discount on Bonds Payable-Foreign</t>
  </si>
  <si>
    <t>Premium on Bonds Payable-Foreign</t>
  </si>
  <si>
    <t>Bond Issue Cost-Foreign</t>
  </si>
  <si>
    <t>Loans Payable-Domestic</t>
  </si>
  <si>
    <t>Loans Payable-Foreign</t>
  </si>
  <si>
    <t>Tax Refunds Payable</t>
  </si>
  <si>
    <t>Due to BIR</t>
  </si>
  <si>
    <t>Due to GSIS-Life and Retirement Premium</t>
  </si>
  <si>
    <t>Due to GSIS-ECC</t>
  </si>
  <si>
    <t>Due to GSIS-Salary Loan</t>
  </si>
  <si>
    <t>Due to GSIS-Policy Loan</t>
  </si>
  <si>
    <t>Due to Pag-IBIG-Pag-IBIG Premium</t>
  </si>
  <si>
    <t>Due to Pag-IBIG-Pag-IBIG Multi-Purpose Loan</t>
  </si>
  <si>
    <t>Due to Pag-IBIG-Pag-IBIG Housing Loan</t>
  </si>
  <si>
    <t>Due to PhilHealth</t>
  </si>
  <si>
    <t>Due to NGAs</t>
  </si>
  <si>
    <t>Due to GOCCs</t>
  </si>
  <si>
    <t>Due to LGUs</t>
  </si>
  <si>
    <t>Due to Joint Venture</t>
  </si>
  <si>
    <t>Due to Central Office</t>
  </si>
  <si>
    <t>Due to Bureaus</t>
  </si>
  <si>
    <t>Due to Regional Offices</t>
  </si>
  <si>
    <t>Due to Operating Units</t>
  </si>
  <si>
    <t>Due to Other Funds</t>
  </si>
  <si>
    <t>Trust Liabilities</t>
  </si>
  <si>
    <t>Trust Liabilities-Disaster Risk Reduction and Management Fund</t>
  </si>
  <si>
    <t>Bail Bonds Payable</t>
  </si>
  <si>
    <t>Guaranty/Security Deposits Payable</t>
  </si>
  <si>
    <t>Customers' Deposits Payable</t>
  </si>
  <si>
    <t>Deferred Finance Lease Revenue</t>
  </si>
  <si>
    <t>Deferred Service Concession Revenue</t>
  </si>
  <si>
    <t>Other Deferred Credits</t>
  </si>
  <si>
    <t>Unearned Revenue-Investment Property</t>
  </si>
  <si>
    <t>Other Unearned Revenue</t>
  </si>
  <si>
    <t>Pension Benefits Payable</t>
  </si>
  <si>
    <t>Leave Benefits Payable</t>
  </si>
  <si>
    <t>Retirement Gratuity Payable</t>
  </si>
  <si>
    <t>Other Provisions</t>
  </si>
  <si>
    <t>Other Payables</t>
  </si>
  <si>
    <t>Accumulated Surplus/(Deficit)</t>
  </si>
  <si>
    <t>Contributed Capital</t>
  </si>
  <si>
    <t>Revaluation Surplus</t>
  </si>
  <si>
    <t>Revenue and Expense Summary</t>
  </si>
  <si>
    <t>Equity in Joint Venture</t>
  </si>
  <si>
    <t>Unrealized Gain/(Loss) from Changes in the Fair Value of Financial Assets</t>
  </si>
  <si>
    <t>Income Tax-Individual</t>
  </si>
  <si>
    <t>Income Tax-Partnerships</t>
  </si>
  <si>
    <t>Income Tax-Corporations</t>
  </si>
  <si>
    <t>Professional Tax</t>
  </si>
  <si>
    <t>Travel Tax</t>
  </si>
  <si>
    <t>Immigration Tax</t>
  </si>
  <si>
    <t>Estate Tax</t>
  </si>
  <si>
    <t>Donors Tax</t>
  </si>
  <si>
    <t>Capital Gains Tax-Individuals</t>
  </si>
  <si>
    <t>Capital Gains Tax-Corporations and Other Enterprises</t>
  </si>
  <si>
    <t>Import Duties-Live Animals, Animal Products</t>
  </si>
  <si>
    <t>Import Duties-Vegetable Products</t>
  </si>
  <si>
    <t>Import Duties-Animal or Vegetable Fats and Oils and their Cleavage Products; Prepared Edible Fats; Animal or Vegetable Waxes</t>
  </si>
  <si>
    <t>Import Duties-Prepared Foodstuffs; Beverages, Spirits and Vinegar; Tobacco and Manufactured Tobacco Substitutes</t>
  </si>
  <si>
    <t>Import Duties-Mineral Products</t>
  </si>
  <si>
    <t>Import Duties-Products of the Chemical or Allied Industries</t>
  </si>
  <si>
    <t>Import Duties-Plastics and Articles Thereof; Rubber and Articles Thereof</t>
  </si>
  <si>
    <t>Import Duties-Raw Hides and Skins, Leather, Furskins and Articles Thereof; Saddlery and Harness; Travel Goods, Handbags and Similar Containers; Articles of Animal Gut (Other than Silk-Worm Gut)</t>
  </si>
  <si>
    <t xml:space="preserve">Import Duties-Wood and Articles of Wood; Wood Charcoal; Cork and Articles of Cork; Manufactures of Straw, of Esparto or of other Plaiting Materials; Basketware and Wickerwork </t>
  </si>
  <si>
    <t>Import Duties-Pulp of Wood or of other Fibrous Cellulosic Material; Recovered (Waste and Scrap) Paper or Paperboard; Paper and Paperboard and Articles Thereof</t>
  </si>
  <si>
    <t>Import Duties-Textiles and Textile Articles</t>
  </si>
  <si>
    <t>Import Duties-Footwear, Headgear, Umbrellas, Sun Umbrellas, Walking-Sticks, Seat-Sticks, Whips, Riding-Crops and Parts Thereof; Prepared Feathers and Articles made Therewith; Artificial Flowers; Articles of Human Hair</t>
  </si>
  <si>
    <t>Import Duties-Articles of Stone, Plaster, Cement, Asbestos, Mica or Similar Materials; Ceramic Products; Glass and Glassware</t>
  </si>
  <si>
    <t>Import Duties-Natural or Cultured Pearls, Precious or Semi-Precious Stones, Precious Metals, Metals Clad with Precious Metal, and Articles Thereof; Imitation Jewellery; Coin</t>
  </si>
  <si>
    <t>Import Duties-Base Metals and Articles of Base Metal</t>
  </si>
  <si>
    <t>Import Duties-Machinery and Mechanical Appliances; Electrical Equipment; PartsThereof; Sound Recorders and Reproducers, Television Image and SoundRecorders and Reproducers, and Parts and Accessories of such Articles</t>
  </si>
  <si>
    <t>Import Duties-Vehicles, Aircraft, Vessels And Associated Transport Equipment</t>
  </si>
  <si>
    <t>Import Duties-Optical, Photographic, Cinematographic, Measuring, Checking, Precision, Medical or Surgical Instruments and Apparatus; Clocks and Watches; Musical Instruments; Parts and Accessories Thereof</t>
  </si>
  <si>
    <t>Import Duties-Arms and Ammunition; Parts and Accessories Thereof</t>
  </si>
  <si>
    <t>Import Duties-Miscellaneous Manufactured Articles</t>
  </si>
  <si>
    <t>Import Duties-Works of Arts, Collectors' Pieces And Antiques</t>
  </si>
  <si>
    <t>Other Import Duties</t>
  </si>
  <si>
    <t>Excise-Tobacco Products</t>
  </si>
  <si>
    <t>Excise-Alcoholic Beverages</t>
  </si>
  <si>
    <t>Excise-Mining-Non-Metalic Products</t>
  </si>
  <si>
    <t>Excise-Mining-Metalic Products</t>
  </si>
  <si>
    <t>Excise-Petroleum Products</t>
  </si>
  <si>
    <t>Excise-Motor Vehicles</t>
  </si>
  <si>
    <t>Excise-Mineral Products</t>
  </si>
  <si>
    <t>Excise-Others</t>
  </si>
  <si>
    <t>Value Added Tax</t>
  </si>
  <si>
    <t>Expanded Value Added Tax</t>
  </si>
  <si>
    <t>Percentage Tax</t>
  </si>
  <si>
    <t>Tax on Sand, Gravel and other Quarry products</t>
  </si>
  <si>
    <t>Tax on Delivery Vans and Trucks</t>
  </si>
  <si>
    <t>Tax on Forest Products</t>
  </si>
  <si>
    <t>Documentary Stamp Tax</t>
  </si>
  <si>
    <t>MVUC Proper</t>
  </si>
  <si>
    <t>MVUC Fines and Penalties</t>
  </si>
  <si>
    <t>Axle Overloading</t>
  </si>
  <si>
    <t>Other Taxes-Business</t>
  </si>
  <si>
    <t>Other Taxes-Other than Business</t>
  </si>
  <si>
    <t>Tax Revenue-Fines and Penalties-Taxes on Individual and Corporation</t>
  </si>
  <si>
    <t>Tax Revenue-Fines and Penalties-Property Taxes</t>
  </si>
  <si>
    <t>Tax Revenue-Fines and Penalties-Taxes on Goods and Services</t>
  </si>
  <si>
    <t>Tax Revenue-Fines and Penalties-Other Taxes</t>
  </si>
  <si>
    <t>Permit Fees Import</t>
  </si>
  <si>
    <t>Permit Fees Export</t>
  </si>
  <si>
    <t>Other Permit Fees</t>
  </si>
  <si>
    <t>Registration Fees</t>
  </si>
  <si>
    <t>Regular Plates</t>
  </si>
  <si>
    <t>Optional Motor Vehicle Special Plate</t>
  </si>
  <si>
    <t>Vanity Licensed Plates</t>
  </si>
  <si>
    <t>Validating Tags/Stickers</t>
  </si>
  <si>
    <t>Clearance Fees</t>
  </si>
  <si>
    <t>Certification Fees</t>
  </si>
  <si>
    <t>Endorsement Fees</t>
  </si>
  <si>
    <t>Identification of Specimens</t>
  </si>
  <si>
    <t>Franchising Fees</t>
  </si>
  <si>
    <t>Licensing Fees</t>
  </si>
  <si>
    <t>Supervision and Regulation Enforcement Fees</t>
  </si>
  <si>
    <t>Spectrum Usage Fees</t>
  </si>
  <si>
    <t>Legal Fees</t>
  </si>
  <si>
    <t>Inspection Fees</t>
  </si>
  <si>
    <t>Accreditation Fees</t>
  </si>
  <si>
    <t>Weights and Measures Fees</t>
  </si>
  <si>
    <t>Other Verification and Authentication Fees</t>
  </si>
  <si>
    <t>Passport Fees</t>
  </si>
  <si>
    <t>Visa Fees</t>
  </si>
  <si>
    <t>Analysis Fees</t>
  </si>
  <si>
    <t>Appeal Fees</t>
  </si>
  <si>
    <t>Application Fees</t>
  </si>
  <si>
    <t>Assessment Fees</t>
  </si>
  <si>
    <t>Execution Fees</t>
  </si>
  <si>
    <t>Express Lane or Special Lane Fees</t>
  </si>
  <si>
    <t>Filing Fees</t>
  </si>
  <si>
    <t>Identity Card Fees</t>
  </si>
  <si>
    <t>Import Processing Fees</t>
  </si>
  <si>
    <t>Oath taking Fees</t>
  </si>
  <si>
    <t>Review Fees</t>
  </si>
  <si>
    <t>Testing Fees</t>
  </si>
  <si>
    <t>Other Processing Fees</t>
  </si>
  <si>
    <t>Fines and Penalties-Service Income</t>
  </si>
  <si>
    <t>Amendment Fees</t>
  </si>
  <si>
    <t>Calibration Fees</t>
  </si>
  <si>
    <t>Escheat Fees of Unclaimed Balances</t>
  </si>
  <si>
    <t>Service Fees on Relent Loan</t>
  </si>
  <si>
    <t>Technology Development Transfer and Commercialization</t>
  </si>
  <si>
    <t>Other Geological and Energy Data</t>
  </si>
  <si>
    <t>Other Service Income</t>
  </si>
  <si>
    <t>Tuition Fees</t>
  </si>
  <si>
    <t>Income Collected from Students</t>
  </si>
  <si>
    <t>Income from Other Sources</t>
  </si>
  <si>
    <t>Other School Fees</t>
  </si>
  <si>
    <t>Affiliation Fees</t>
  </si>
  <si>
    <t>Examination Fees</t>
  </si>
  <si>
    <t>Seminar/Training Fees</t>
  </si>
  <si>
    <t>Rent/Lease Income</t>
  </si>
  <si>
    <t>Communications Network Fees</t>
  </si>
  <si>
    <t>Transportation System Fees</t>
  </si>
  <si>
    <t>Road Network Fees</t>
  </si>
  <si>
    <t>Waterworks System Fees</t>
  </si>
  <si>
    <t>Power Supply System Fees</t>
  </si>
  <si>
    <t>Seaport System Fees</t>
  </si>
  <si>
    <t>Landing and Parking Fees</t>
  </si>
  <si>
    <t>Income from Hostels/Dormitories and Other Like Facilities</t>
  </si>
  <si>
    <t>Slaughterhouse Operation</t>
  </si>
  <si>
    <t>Income from Printing and Publication</t>
  </si>
  <si>
    <t>Book Sales</t>
  </si>
  <si>
    <t>Consultancy Fees</t>
  </si>
  <si>
    <t>Entrance Fees</t>
  </si>
  <si>
    <t>Film Showing Fees</t>
  </si>
  <si>
    <t>Sale of Accountable Forms</t>
  </si>
  <si>
    <t>Sale of Animals, Meat and Dairy</t>
  </si>
  <si>
    <t>Sale of Technology thru Payback</t>
  </si>
  <si>
    <t>Sale of Training Manuals</t>
  </si>
  <si>
    <t>Other Sales</t>
  </si>
  <si>
    <t>Sales Discounts</t>
  </si>
  <si>
    <t>Drugs and Medicines</t>
  </si>
  <si>
    <t>Medical Supplies</t>
  </si>
  <si>
    <t>Medical Fees-Operating Room</t>
  </si>
  <si>
    <t>Medical Fees-Radiology</t>
  </si>
  <si>
    <t>Medical Fees-Laboratory</t>
  </si>
  <si>
    <t>Medical Fees-Hemodialysis</t>
  </si>
  <si>
    <t>Medical Fees-Cardio-Vascular Services</t>
  </si>
  <si>
    <t>Medical Fees-Nuclear Medicine Services</t>
  </si>
  <si>
    <t>Medical Fees-Physical Medicine &amp; Rehabilitation Services</t>
  </si>
  <si>
    <t>Medical Fees-Pulmonary Services</t>
  </si>
  <si>
    <t>Medical Fees-Neurology Services</t>
  </si>
  <si>
    <t>Other Hospital Fees</t>
  </si>
  <si>
    <t>Guarantee Income</t>
  </si>
  <si>
    <t>Fidelity Insurance Income</t>
  </si>
  <si>
    <t>Dividend Income</t>
  </si>
  <si>
    <t>Interest on NG Deposits</t>
  </si>
  <si>
    <t>Interest on Advances to GOCCs</t>
  </si>
  <si>
    <t>Interest Income-Others</t>
  </si>
  <si>
    <t>Share in the Profit of Joint Venture</t>
  </si>
  <si>
    <t>Fines and Penalties-Business Income</t>
  </si>
  <si>
    <t>Service Concession Revenue</t>
  </si>
  <si>
    <t>Income from Compromise Agreement</t>
  </si>
  <si>
    <t>Pasture Income</t>
  </si>
  <si>
    <t>Warehousing Fees</t>
  </si>
  <si>
    <t>Other Business Income</t>
  </si>
  <si>
    <t>Subsidy from National Government</t>
  </si>
  <si>
    <t>Subsidy from Other National Government Agencies</t>
  </si>
  <si>
    <t>Assistance from Local Government Units</t>
  </si>
  <si>
    <t>Assistance from Government-Owned and/or Controlled Corporations</t>
  </si>
  <si>
    <t>Subsidy from Other Funds</t>
  </si>
  <si>
    <t>Subsidy from Central Office</t>
  </si>
  <si>
    <t>Subsidy from Regional Office/Staff Bureau</t>
  </si>
  <si>
    <t>Share from National Wealth-Tobacco Excise Tax (Virginia) per R.A. 7171</t>
  </si>
  <si>
    <t>Share from National Wealth-Tobacco Excise Tax (Burley and Native) per R.A. 8240</t>
  </si>
  <si>
    <t>Share from National Wealth-Mining Taxes per R.A. 7160</t>
  </si>
  <si>
    <t>Share from National Wealth-Royalties per R.A. 7160</t>
  </si>
  <si>
    <t>Share from National Wealth-Forestry Charges per R.A. 7160</t>
  </si>
  <si>
    <t>Share from National Wealth-Fishery Charges per R.A. 7160</t>
  </si>
  <si>
    <t>Share from National Wealth-Renewable Energy charges per R.A. 9513</t>
  </si>
  <si>
    <t>Share from National Wealth-Income Tax Collections in ECO ZONES per R.A. 7922 and R.A. 8748</t>
  </si>
  <si>
    <t>Share from National Wealth-Value Added Tax per R.A. 7643</t>
  </si>
  <si>
    <t>Share from National Wealth-Value Added Tax in lieu of Franchise Tax per R.A. 7953 and R.A. 8407</t>
  </si>
  <si>
    <t>Share from PAGCOR/PCSO</t>
  </si>
  <si>
    <t>Share from Earnings of GOCCs</t>
  </si>
  <si>
    <t>Income from Grants and Donations in Cash</t>
  </si>
  <si>
    <t>Income from Grants and Donations in Kind</t>
  </si>
  <si>
    <t>Gain on Foreign Exchange (FOREX)</t>
  </si>
  <si>
    <t>Gain on Sale of Investments</t>
  </si>
  <si>
    <t>Gain on Sale of Investment Property</t>
  </si>
  <si>
    <t>Gain on Sale of Property, Plant and Equipment</t>
  </si>
  <si>
    <t>Gain on Initial Recognition of Biological Assets</t>
  </si>
  <si>
    <t>Gain on Sale of Biological Assets</t>
  </si>
  <si>
    <t>Gain from Changes in Fair Value Less Costs to Sell of Biological Assets Due to Physical Change</t>
  </si>
  <si>
    <t>Gain from Changes in Fair Value Less Costs to Sell of Biological Assets Due to Price Change</t>
  </si>
  <si>
    <t>Gain on Sale of Agricultural Produce</t>
  </si>
  <si>
    <t>Gain on Sale of Intangible Assets</t>
  </si>
  <si>
    <t>Gain from Changes in Fair Value of Financial Instruments</t>
  </si>
  <si>
    <t>Gain on Initial Recognition of Agricultural Produce</t>
  </si>
  <si>
    <t>Other Gains</t>
  </si>
  <si>
    <t>Sale of Garnished/Confiscated/Abandoned/Seized Goods and Properties</t>
  </si>
  <si>
    <t>Sale of Unserviceable Property</t>
  </si>
  <si>
    <t>Reversal of Impairment Loss</t>
  </si>
  <si>
    <t>Proceeds from Insurance/Indemnities</t>
  </si>
  <si>
    <t>Miscellaneous Income</t>
  </si>
  <si>
    <t>Basic Salary-Civilian</t>
  </si>
  <si>
    <t>Base Pay-Military/Uniformed Personnel</t>
  </si>
  <si>
    <t>Salaries and Wages-Casual/Contractual</t>
  </si>
  <si>
    <t>PERA-Civilian</t>
  </si>
  <si>
    <t>PERA-Military/Uniformed Personnel</t>
  </si>
  <si>
    <t>Representation Allowance (RA)</t>
  </si>
  <si>
    <t>Transportation Allowance</t>
  </si>
  <si>
    <t>RATA of Sectoral/Alternate Sectoral Representatives</t>
  </si>
  <si>
    <t>Clothing/Uniform Allowance-Civilian</t>
  </si>
  <si>
    <t>Shoes Allowance-Civilian</t>
  </si>
  <si>
    <t>Clothing/Uniform Allowance-Military/Uniformed Personnel</t>
  </si>
  <si>
    <t>Clothing/Uniform Allowance-Initial-Military/Uniformed Personnel</t>
  </si>
  <si>
    <t>Clothing/Uniform Allowance-Special-Military/Uniformed Personnel</t>
  </si>
  <si>
    <t>Clothing/Uniform Allowance-Cold Weather-Military/Uniformed Personnel</t>
  </si>
  <si>
    <t>Clothing/Uniform Allowance-Reenlistment-Military/Uniformed Personnel</t>
  </si>
  <si>
    <t>Clothing/Uniform Allowance-Winter-Military/Uniformed Personnel</t>
  </si>
  <si>
    <t>Clothing/Uniform Allowance-Combat-Military/Uniformed Personnel</t>
  </si>
  <si>
    <t>Clothing/Uniform Allowance-Maintenance Cold Weather-Military/Uniformed Personnel</t>
  </si>
  <si>
    <t>Clothing/Uniform Allowance-Replacement-Military/Uniformed Personnel</t>
  </si>
  <si>
    <t>Subsistence Allowance-Military/Uniformed Personnel</t>
  </si>
  <si>
    <t>Subsistence Allowance-Magna Carta Benefits for Science and Technology under R.A. 8439</t>
  </si>
  <si>
    <t>Subsistence Allowance-Magna Carta Benefits for Public Health Workers under R.A. 7305</t>
  </si>
  <si>
    <t>Subsistence Allowance-Magna Carta Benefits for Public Social Workers under R.A. 9432</t>
  </si>
  <si>
    <t>Laundry Allowance-Civilian</t>
  </si>
  <si>
    <t>Laundry Allowance-Military/Uniformed Personnel</t>
  </si>
  <si>
    <t>Laundry Allowance-Magna Carta Benefits for Science and Technology under R.A. 8439</t>
  </si>
  <si>
    <t>Laundry Allowance-Magna Carta Benefits for Public Health Workers under R.A. 7305</t>
  </si>
  <si>
    <t>Laundry Allowance-Magna Carta Benefits for Public Social Workers under R.A. 9432</t>
  </si>
  <si>
    <t>Quarters Allowance-Civilian</t>
  </si>
  <si>
    <t>Quarters Allowance-Military/Uniformed Personnel</t>
  </si>
  <si>
    <t>Quarters Allowance-Magna Carta Benefits for Science and Technology under R.A. 8439</t>
  </si>
  <si>
    <t>Quarters Allowance-Magna Carta Benefits for Public Health Workers under R.A. 7305</t>
  </si>
  <si>
    <t>Quarters Allowance Magna Carta Benefits for Public Social Workers under R.A. 9432</t>
  </si>
  <si>
    <t>Productivity Incentive Allowance-Civilian</t>
  </si>
  <si>
    <t>Productivity Incentive Allowance-Military/Uniformed Personnel</t>
  </si>
  <si>
    <t>Overseas Allowance-Civilian</t>
  </si>
  <si>
    <t>Overseas Allowance-Military/Uniformed Personnel</t>
  </si>
  <si>
    <t>Honoraria-Civilian</t>
  </si>
  <si>
    <t>Honoraria-Military/Uniformed Personnel</t>
  </si>
  <si>
    <t>Honoraria-Magna Carta Benefits for Science and Technology under R.A. 8439</t>
  </si>
  <si>
    <t>Honoraria-Magna Carta Benefits for Public Health Workers under R.A. 7305</t>
  </si>
  <si>
    <t>Honoraria-Magna Carta Benefits for Public Social Workers under R.A. 9432</t>
  </si>
  <si>
    <t>Hazard Pay</t>
  </si>
  <si>
    <t>Hazard Duty Pay-Civilian</t>
  </si>
  <si>
    <t>Hazard Duty Pay-Military/Uniformed Personnel</t>
  </si>
  <si>
    <t>HP-Magna Carta Benefits for Science and Technology under R.A. 8439</t>
  </si>
  <si>
    <t>HP-Magna Carta Benefits for Public Health Workers under R.A. 7305</t>
  </si>
  <si>
    <t>HP-Magna Carta Benefits for Public Social Workers under R.A. 9432</t>
  </si>
  <si>
    <t>Radiation Hazard Pay not exceeding 15% of Basic Salary</t>
  </si>
  <si>
    <t>High Risk Duty Pay</t>
  </si>
  <si>
    <t>Hazardous Duty Pay</t>
  </si>
  <si>
    <t>Longevity Pay-Civilian</t>
  </si>
  <si>
    <t>Longevity Pay-Military/Uniformed Personnel</t>
  </si>
  <si>
    <t>Longevity Pay-Magna Carta Benefits for Science and Technology under R.A. 8439</t>
  </si>
  <si>
    <t>Longevity Pay-Magna Carta Benefits for Public Health Workers under R.A. 7305</t>
  </si>
  <si>
    <t>Longevity Pay-Magna Carta Benefits for Public Social Workers under R.A. 9432</t>
  </si>
  <si>
    <t>Overtime Pay</t>
  </si>
  <si>
    <t>Night-shift Differential Pay</t>
  </si>
  <si>
    <t>Bonus-Civilian</t>
  </si>
  <si>
    <t>Bonus-Military/Uniformed Personnel</t>
  </si>
  <si>
    <t>Cash Gift-Civilian</t>
  </si>
  <si>
    <t>Cash Gift-Military/Uniformed Personnel</t>
  </si>
  <si>
    <t>Per Diems-Civilian</t>
  </si>
  <si>
    <t>Allowance of PAO Lawyers and Employees Assigned in Night Courts-Civilian</t>
  </si>
  <si>
    <t>Allowance of Attorney's de Officio-Civilian</t>
  </si>
  <si>
    <t>Special Hardship Allowance-Civilian</t>
  </si>
  <si>
    <t>Private Messenger Fee-Civilian</t>
  </si>
  <si>
    <t>Inquest Allowance-Civilian</t>
  </si>
  <si>
    <t>Special Duty Allowance-Civilian</t>
  </si>
  <si>
    <t>Special Duty Allowance-Military/Uniformed Personnel</t>
  </si>
  <si>
    <t>Special Allowance for Judges and Justices-Civilian</t>
  </si>
  <si>
    <t>Special Allowance for the Members of the Prosecution Service</t>
  </si>
  <si>
    <t>Collective Negotiation Agreement Incentive-Civilian</t>
  </si>
  <si>
    <t>Productivity Enhancement Incentive-Civilian</t>
  </si>
  <si>
    <t>Productivity Enhancement Incentive-Military/Uniformed Personnel</t>
  </si>
  <si>
    <t>Performance Based Bonus-Civilian</t>
  </si>
  <si>
    <t>Performance Based Bonus-Military/Uniformed Personnel</t>
  </si>
  <si>
    <t>Flying Pay-Duty Based Allowance-Military/Uniformed Personnel (DBA-MUP)</t>
  </si>
  <si>
    <t>Special Group Term Insurance-DBA-MUP</t>
  </si>
  <si>
    <t>Sea Duty Pay-DBA-MUP</t>
  </si>
  <si>
    <t>Combat Incentive Pay-DBA-MUP</t>
  </si>
  <si>
    <t>Reenlistment Pay-DBA-MUP</t>
  </si>
  <si>
    <t>Other Subsistence Allowance-DBA-MUP</t>
  </si>
  <si>
    <t>Training Subsistence Allowance-DBA-MUP</t>
  </si>
  <si>
    <t>Civil Disturbance Control Subsistence Allowance-DBA-MUP</t>
  </si>
  <si>
    <t>Subsistence of Detainees-DBA-MUP</t>
  </si>
  <si>
    <t>Hardship Allowance-DBA-MUP</t>
  </si>
  <si>
    <t>Combat Duty Pay-DBA-MUP</t>
  </si>
  <si>
    <t>Incentive Pay-DBA-MUP</t>
  </si>
  <si>
    <t>Instructor's Duty Pay-DBA-MUP</t>
  </si>
  <si>
    <t>Reservist's Pay-DBA-MUP</t>
  </si>
  <si>
    <t>Medal of Valor Award-DBA-MUP</t>
  </si>
  <si>
    <t>Hospitalization Expenses-DBA-MUP</t>
  </si>
  <si>
    <t>Specialist's Pay-DBA-MUP</t>
  </si>
  <si>
    <t>Parachutist Pay-DBA-MUP</t>
  </si>
  <si>
    <t>Retirement and Life Insurance Premiums</t>
  </si>
  <si>
    <t>Pag-IBIG-Civilian</t>
  </si>
  <si>
    <t>Pag-IBIG-Military/Uniformed Personnel</t>
  </si>
  <si>
    <t>PhilHealth-Civilian</t>
  </si>
  <si>
    <t>PhilHealth-Military/Uniformed Personnel</t>
  </si>
  <si>
    <t>ECIP-Civilian</t>
  </si>
  <si>
    <t>ECIP-Military/Uniformed Personnel</t>
  </si>
  <si>
    <t>Provident/Welfare Fund Contributions</t>
  </si>
  <si>
    <t>Pension Benefits-Civilian</t>
  </si>
  <si>
    <t>Pension Benefits-Military/Uniformed Personnel</t>
  </si>
  <si>
    <t>Pension Benefits-Veterans</t>
  </si>
  <si>
    <t>Retirement Gratuity-Civilian</t>
  </si>
  <si>
    <t>Retirement Gratuity-Military/Uniformed Personnel</t>
  </si>
  <si>
    <t>Terminal Leave Benefits-Civilian</t>
  </si>
  <si>
    <t>Terminal Leave Benefits-Military/Uniformed Personnel</t>
  </si>
  <si>
    <t>Lump-sum for Creation of New Positions-Civilian</t>
  </si>
  <si>
    <t>Lump-sum for Creation of New Positions-Military/Uniformed Personnel</t>
  </si>
  <si>
    <t>Lump-sum for Reclassification of Positions</t>
  </si>
  <si>
    <t>Lump-sum for Equivalent-Record Form</t>
  </si>
  <si>
    <t>Lump-sum for  Master Teachers</t>
  </si>
  <si>
    <t>Lump-sum for Compensation Adjustment</t>
  </si>
  <si>
    <t>Lump-sum for Filling of Positions</t>
  </si>
  <si>
    <t>Lump-sum for NBC No. 308</t>
  </si>
  <si>
    <t>Lump-sum for Personnel Services</t>
  </si>
  <si>
    <t>Lump-sum for Step Increments-Length of Service</t>
  </si>
  <si>
    <t>Lump-sum for Step Increments-Meritorious Performance</t>
  </si>
  <si>
    <t>Other Lump-sum</t>
  </si>
  <si>
    <t>Police Benefits (NAPOLCOM)</t>
  </si>
  <si>
    <t>Other Personnel Benefits</t>
  </si>
  <si>
    <t>Traveling Expenses-Local</t>
  </si>
  <si>
    <t>Traveling Expenses-Foreign</t>
  </si>
  <si>
    <t>Training Expenses</t>
  </si>
  <si>
    <t>Scholarship Grants/Expenses</t>
  </si>
  <si>
    <t>Office Supplies Expenses</t>
  </si>
  <si>
    <t>Accountable Forms Expenses</t>
  </si>
  <si>
    <t>Non-Accountable Forms Expenses</t>
  </si>
  <si>
    <t>Animal/Zoological Supplies Expenses</t>
  </si>
  <si>
    <t>Food Supplies Expenses</t>
  </si>
  <si>
    <t>Welfare Goods Expenses</t>
  </si>
  <si>
    <t>Drugs and Medicines Expenses</t>
  </si>
  <si>
    <t>Medical, Dental and Laboratory Supplies Expenses</t>
  </si>
  <si>
    <t>Fuel, Oil and Lubricants Expenses</t>
  </si>
  <si>
    <t>Agricultural and Marine Supplies Expenses</t>
  </si>
  <si>
    <t>Textbooks and Instructional Materials Expenses</t>
  </si>
  <si>
    <t>Chalk Allowance</t>
  </si>
  <si>
    <t>Military, Police and Traffic Supplies Expenses</t>
  </si>
  <si>
    <t>Chemical and Filtering Supplies Expenses</t>
  </si>
  <si>
    <t>Semi-Expendable Machinery and Equipment Expenses-Machinery</t>
  </si>
  <si>
    <t>Semi-Expendable Machinery and Equipment Expenses-Office Equipment</t>
  </si>
  <si>
    <t>Semi-Expendable Machinery and Equipment Expenses-Information and Communications Technology Equipment</t>
  </si>
  <si>
    <t>Semi-Expendable Machinery and Equipment Expenses-Agricultural and Forestry Equipment</t>
  </si>
  <si>
    <t>Semi-Expendable Machinery and Equipment Expenses-Marine and Fishery Equipment</t>
  </si>
  <si>
    <t>Semi-Expendable Machinery and Equipment Expenses-Airport Equipment</t>
  </si>
  <si>
    <t>Semi-Expendable Machinery and Equipment Expenses-Communications Equipment</t>
  </si>
  <si>
    <t>Semi-Expendable Machinery and Equipment Expenses-Disaster Response and Rescue Equipment</t>
  </si>
  <si>
    <t>Semi-Expendable Machinery and Equipment Expenses-Military, Police and Security Equipment</t>
  </si>
  <si>
    <t>Semi-Expendable Machinery and Equipment Expenses-Medical Equipment</t>
  </si>
  <si>
    <t>Semi-Expendable Machinery and Equipment Expenses-Printing Equipment</t>
  </si>
  <si>
    <t>Semi-Expendable Machinery and Equipment Expenses-Sports Equipment</t>
  </si>
  <si>
    <t>Semi-Expendable Machinery and Equipment Expenses-Technical and Scientific Equipment</t>
  </si>
  <si>
    <t>Semi-Expendable Machinery and Equipment Expenses-Other Machinery and Equipment</t>
  </si>
  <si>
    <t>Semi-Expendable Furniture, Fixtures and Books Expenses-Furniture and Fixtures</t>
  </si>
  <si>
    <t>Semi-Expendable Furniture, Fixtures and Books Expenses-Books</t>
  </si>
  <si>
    <t>Other Supplies and Materials Expenses</t>
  </si>
  <si>
    <t>Water Expenses</t>
  </si>
  <si>
    <t>Electricity Expenses</t>
  </si>
  <si>
    <t>Gas/Heating Expenses</t>
  </si>
  <si>
    <t>Other Utility Expenses</t>
  </si>
  <si>
    <t>Postage and Courier Expenses</t>
  </si>
  <si>
    <t>Telephone Expenses-Mobile</t>
  </si>
  <si>
    <t>Telephone Expenses-Landline</t>
  </si>
  <si>
    <t>Internet Subscription Expenses</t>
  </si>
  <si>
    <t>Cable, Satellite, Telegraph and Radio Expenses</t>
  </si>
  <si>
    <t>Awards/Rewards Expenses</t>
  </si>
  <si>
    <t>Rewards and Incentives</t>
  </si>
  <si>
    <t>Prizes</t>
  </si>
  <si>
    <t>Indemnities</t>
  </si>
  <si>
    <t>Survey Expenses</t>
  </si>
  <si>
    <t>Research, Exploration and Development Expenses</t>
  </si>
  <si>
    <t>Demolition and Relocation Expenses</t>
  </si>
  <si>
    <t>Desilting and Dredging Expenses</t>
  </si>
  <si>
    <t>Generation, Transmission and Distribution Expenses</t>
  </si>
  <si>
    <t>Confidential Expenses</t>
  </si>
  <si>
    <t>Intelligence Expenses</t>
  </si>
  <si>
    <t>Extraordinary and Miscellaneous Expenses</t>
  </si>
  <si>
    <t>Legal Services</t>
  </si>
  <si>
    <t>Auditing Services</t>
  </si>
  <si>
    <t>Consultancy Services</t>
  </si>
  <si>
    <t>Other Professional Services</t>
  </si>
  <si>
    <t>Environment/Sanitary Services</t>
  </si>
  <si>
    <t>Janitorial Services</t>
  </si>
  <si>
    <t>Security Services</t>
  </si>
  <si>
    <t>Other General Services</t>
  </si>
  <si>
    <t>Repairs and Maintenance-Investment Property</t>
  </si>
  <si>
    <t>Repairs and Maintenance-Aquaculture Structures</t>
  </si>
  <si>
    <t>Repairs and Maintenance-Reforestation Projects</t>
  </si>
  <si>
    <t>Repairs and Maintenance-Other Land Improvements</t>
  </si>
  <si>
    <t>Repairs and Maintenance-Road Networks</t>
  </si>
  <si>
    <t>Repairs and Maintenance-Flood Control Systems</t>
  </si>
  <si>
    <t>Repairs and Maintenance-Sewer Systems</t>
  </si>
  <si>
    <t>Repairs and Maintenance-Water Supply Systems</t>
  </si>
  <si>
    <t>Repairs and Maintenance-Power Supply Systems</t>
  </si>
  <si>
    <t>Repairs and Maintenance-Communications Networks</t>
  </si>
  <si>
    <t>Repairs and Maintenance-Seaport Systems</t>
  </si>
  <si>
    <t>Repairs and Maintenance-Airport Systems</t>
  </si>
  <si>
    <t>Repairs and Maintenance-Parks, Plazas and Monuments</t>
  </si>
  <si>
    <t>Repairs and Maintenance-Railway Systems</t>
  </si>
  <si>
    <t>Repairs and Maintenance-Other Infrastructure Assets</t>
  </si>
  <si>
    <t>Repairs and Maintenance-Buildings</t>
  </si>
  <si>
    <t>Repairs and Maintenance-School Buildings</t>
  </si>
  <si>
    <t>Repairs and Maintenance-Hospitals and Health Centers</t>
  </si>
  <si>
    <t>Repairs and Maintenance-Markets</t>
  </si>
  <si>
    <t>Repairs and Maintenance-Slaughterhouses</t>
  </si>
  <si>
    <t>Repairs and Maintenance-Hostels and Dormitories</t>
  </si>
  <si>
    <t>Repairs and Maintenance-Other Structures</t>
  </si>
  <si>
    <t>Repairs and Maintenance-Machinery</t>
  </si>
  <si>
    <t>Repairs and Maintenance-Office Equipment</t>
  </si>
  <si>
    <t>Repairs and Maintenance-ICT Equipment</t>
  </si>
  <si>
    <t>Repairs and Maintenance-Agricultural and Forestry Equipment</t>
  </si>
  <si>
    <t>Repairs and Maintenance-Marine and Fishery Equipment</t>
  </si>
  <si>
    <t>Repairs and Maintenance-Airport Equipment</t>
  </si>
  <si>
    <t>Repairs and Maintenance-Communications Equipment</t>
  </si>
  <si>
    <t>Repairs and Maintenance-Construction and Heavy Equipment</t>
  </si>
  <si>
    <t>Repairs and Maintenance-Disaster Response and Rescue Equipment</t>
  </si>
  <si>
    <t>Repairs and Maintenance-Military, Police and Security Equipment</t>
  </si>
  <si>
    <t>Repairs and Maintenance-Medical Equipment</t>
  </si>
  <si>
    <t>Repairs and Maintenance-Printing Equipment</t>
  </si>
  <si>
    <t>Repairs and Maintenance-Sports Equipment</t>
  </si>
  <si>
    <t>Repairs and Maintenance-Technical and Scientific Equipment</t>
  </si>
  <si>
    <t>Repairs and Maintenance-Other Machinery and Equipment</t>
  </si>
  <si>
    <t>Repairs and Maintenance-Motor Vehicles</t>
  </si>
  <si>
    <t>Repairs and Maintenance-Trains</t>
  </si>
  <si>
    <t>Repairs and Maintenance-Aircrafts and Aircrafts Ground Equipment</t>
  </si>
  <si>
    <t>Repairs and Maintenance-Watercrafts</t>
  </si>
  <si>
    <t>Repairs and Maintenance-Other Transportation Equipment</t>
  </si>
  <si>
    <t>Repairs and Maintenance-Furniture and Fixtures</t>
  </si>
  <si>
    <t>Repairs and Maintenance-Leased Assets-Buildings and Other Structures</t>
  </si>
  <si>
    <t>Repairs and Maintenance-Leased Assets-Machinery and Equipment</t>
  </si>
  <si>
    <t>Repairs and Maintenance-Leased Assets-Transportation Equipment</t>
  </si>
  <si>
    <t>Repairs and Maintenance-Other Leased Assets</t>
  </si>
  <si>
    <t>Repairs and Maintenance-Leased Assets Improvements-Land</t>
  </si>
  <si>
    <t>Repairs and Maintenance-Leased Assets Improvements-Buildings</t>
  </si>
  <si>
    <t>Repairs and Maintenance-Other Leased Assets Improvements</t>
  </si>
  <si>
    <t>Repairs and Maintenance-Historical Buildings</t>
  </si>
  <si>
    <t>Repairs and Maintenance-Works of Artss and Archeological Specimens</t>
  </si>
  <si>
    <t>Repairs and Maintenance-Other Heritage Assets</t>
  </si>
  <si>
    <t>Repairs and Maintenance-Semi-Expendable-Machinery</t>
  </si>
  <si>
    <t>Repairs and Maintenance-Semi-Expendable -Office Equipment</t>
  </si>
  <si>
    <t>Repairs and Maintenance-Semi-Expendable -Information and Communications Technology Equipment</t>
  </si>
  <si>
    <t>Repairs and Maintenance-Semi-Expendable -Agricultural and Forestry Equipment</t>
  </si>
  <si>
    <t>Repairs and Maintenance-Semi-Expendable -Marine and Fishery Equipment</t>
  </si>
  <si>
    <t>Repairs and Maintenance-Semi-Expendable -Airport Equipment</t>
  </si>
  <si>
    <t>Repairs and Maintenance-Semi-Expendable -Communications Equipment</t>
  </si>
  <si>
    <t>Repairs and Maintenance-Semi-Expendable -Disaster Response and Rescue Equipment</t>
  </si>
  <si>
    <t>Repairs and Maintenance-Semi-Expendable -Military, Police and Security Equipment</t>
  </si>
  <si>
    <t>Repairs and Maintenance-Semi-Expendable -Medical Equipment</t>
  </si>
  <si>
    <t>Repairs and Maintenance-Semi-Expendable -Printing Equipment</t>
  </si>
  <si>
    <t>Repairs and Maintenance-Semi-Expendable -Sports Equipment</t>
  </si>
  <si>
    <t>Repairs and Maintenance-Semi-Expendable -Technical and Scientific Equipment</t>
  </si>
  <si>
    <t>Repairs and Maintenance-Semi-Expendable -Other Machinery and Equipment</t>
  </si>
  <si>
    <t>Repairs and Maintenance-Semi-Expendable-Furniture and Fixtures</t>
  </si>
  <si>
    <t>Repairs and Maintenance-Semi-Expendable-Books</t>
  </si>
  <si>
    <t>Repairs and Maintenance-Work/Zoo Animals</t>
  </si>
  <si>
    <t>Repairs and Maintenance-Other Property, Plant and Equipment</t>
  </si>
  <si>
    <t>Subsidy to NGAs</t>
  </si>
  <si>
    <t>Financial Assistance to NGAs</t>
  </si>
  <si>
    <t>Financial Assistance to LGUs-Tobacco Excise Tax (Virginia) per R.A. 7171</t>
  </si>
  <si>
    <t>Financial Assistance to LGUs-Tobacco Excise Tax (Burley and Native) per R.A. 8240</t>
  </si>
  <si>
    <t>Financial Assistance to LGUs-Mining Taxes per R.A. 7160</t>
  </si>
  <si>
    <t>Financial Assistance to LGUs-Royalties per R.A. 7160</t>
  </si>
  <si>
    <t>Financial Assistance to LGUs-Forestry Charges per R.A. 7160</t>
  </si>
  <si>
    <t>Financial Assistance to LGUs-Fishery Charges per R.A. 7160</t>
  </si>
  <si>
    <t>Financial Assistance to LGUs-Renewable Energy charges per R.A. 9513</t>
  </si>
  <si>
    <t>Financial Assistance to LGUs-Income Tax Collections in ECO ZONES per R.A. 7922 and R.A. 8748</t>
  </si>
  <si>
    <t>Financial Assistance to LGUs-Value Added Tax per R.A. 7643</t>
  </si>
  <si>
    <t>Financial Assistance to LGUs-Value Added Tax in lieu of Franchise Tax per R.A. 7953 and R.A. 8407</t>
  </si>
  <si>
    <t>Subsidy Support to Operations of GOCCs</t>
  </si>
  <si>
    <t>Budgetary Support to GOCCs-Road Networks</t>
  </si>
  <si>
    <t>Budgetary Support to GOCCs-Flood Control Systems</t>
  </si>
  <si>
    <t>Budgetary Support to GOCCs-Sewer Systems</t>
  </si>
  <si>
    <t>Budgetary Support to GOCCs-Water Supply Systems</t>
  </si>
  <si>
    <t>Budgetary Support to GOCCs-Power Supply Systems</t>
  </si>
  <si>
    <t>Budgetary Support to GOCCs-Communications Networks</t>
  </si>
  <si>
    <t>Budgetary Support to GOCCs-Seaport Systems</t>
  </si>
  <si>
    <t>Budgetary Support to GOCCs-Airport Systems</t>
  </si>
  <si>
    <t>Budgetary Support to GOCCs-Parks, Plazas and Monuments</t>
  </si>
  <si>
    <t>Budgetary Support to GOCCs-Other Infrastructure Assets</t>
  </si>
  <si>
    <t>Financial Assistance to NGOs/POs</t>
  </si>
  <si>
    <t>Internal Revenue Allotment</t>
  </si>
  <si>
    <t>Subsidy to Regional Offices/Staff Bureaus</t>
  </si>
  <si>
    <t>Subsidy to Operating Units</t>
  </si>
  <si>
    <t>Subsidy to Other Funds</t>
  </si>
  <si>
    <t>Subsidies-Others</t>
  </si>
  <si>
    <t>Taxes, Duties and Licenses</t>
  </si>
  <si>
    <t>Tax Refund</t>
  </si>
  <si>
    <t>Fidelity Bond Premiums</t>
  </si>
  <si>
    <t>Insurance Expenses</t>
  </si>
  <si>
    <t>Labor and Wages</t>
  </si>
  <si>
    <t>Advertising Expenses</t>
  </si>
  <si>
    <t>Printing and Publication Expenses</t>
  </si>
  <si>
    <t>Representation Expenses</t>
  </si>
  <si>
    <t>Transportation and Delivery Expenses</t>
  </si>
  <si>
    <t>Rents-Buildings and Structures</t>
  </si>
  <si>
    <t>Rents-Land</t>
  </si>
  <si>
    <t>Rents-Motor Vehicles</t>
  </si>
  <si>
    <t>Rents-Equipment</t>
  </si>
  <si>
    <t>Rents-Living Quarters</t>
  </si>
  <si>
    <t>Operating Lease</t>
  </si>
  <si>
    <t>Financial Lease</t>
  </si>
  <si>
    <t>Membership Dues and Contributions to Organizations</t>
  </si>
  <si>
    <t>Subscription Expenses</t>
  </si>
  <si>
    <t>Donations</t>
  </si>
  <si>
    <t>Litigation/Acquired Assets Expenses</t>
  </si>
  <si>
    <t>Loss on Guaranty</t>
  </si>
  <si>
    <t>Website Maintenance</t>
  </si>
  <si>
    <t>Other Maintenance and Operating Expenses</t>
  </si>
  <si>
    <t>Management Supervision/Trusteeship Fees</t>
  </si>
  <si>
    <t>Interest Paid to Residents other than General Government</t>
  </si>
  <si>
    <t>Interest Paid to other General Government Units</t>
  </si>
  <si>
    <t>Guarantee Fees</t>
  </si>
  <si>
    <t>Bank Charges</t>
  </si>
  <si>
    <t>Commitment Fees</t>
  </si>
  <si>
    <t>Other Financial Charges</t>
  </si>
  <si>
    <t>Direct Labor</t>
  </si>
  <si>
    <t>Manufacturing Overhead</t>
  </si>
  <si>
    <t>Cost of Sales</t>
  </si>
  <si>
    <t>Depreciation-Investment Property</t>
  </si>
  <si>
    <t>Depreciation-Aquaculture Structures</t>
  </si>
  <si>
    <t>Depreciation-Reforestation Projects</t>
  </si>
  <si>
    <t>Depreciation-Other Land Improvements</t>
  </si>
  <si>
    <t>Depreciation-Road Networks</t>
  </si>
  <si>
    <t>Depreciation-Flood Control Systems</t>
  </si>
  <si>
    <t>Depreciation-Sewer Systems</t>
  </si>
  <si>
    <t>Depreciation-Water Supply Systems</t>
  </si>
  <si>
    <t>Depreciation-Power Supply Systems</t>
  </si>
  <si>
    <t>Depreciation-Communications Networks</t>
  </si>
  <si>
    <t>Depreciation-Seaport Systems</t>
  </si>
  <si>
    <t>Depreciation-Airport Systems</t>
  </si>
  <si>
    <t>Depreciation-Parks, Plazas and Monuments</t>
  </si>
  <si>
    <t>Depreciation-Railway Systems</t>
  </si>
  <si>
    <t>Depreciation-Other Infrastructure Assets</t>
  </si>
  <si>
    <t>Depreciation-Buildings</t>
  </si>
  <si>
    <t>Depreciation-School Buildings</t>
  </si>
  <si>
    <t>Depreciation-Hospitals and Health Centers</t>
  </si>
  <si>
    <t>Depreciation-Markets</t>
  </si>
  <si>
    <t>Depreciation-Slaughterhouses</t>
  </si>
  <si>
    <t>Depreciation-Hostels and Dormitories</t>
  </si>
  <si>
    <t>Depreciation-Other Structures</t>
  </si>
  <si>
    <t>Depreciation-Machinery</t>
  </si>
  <si>
    <t>Depreciation-Office Equipment</t>
  </si>
  <si>
    <t>Depreciation-ICT Equipment</t>
  </si>
  <si>
    <t>Depreciation-Agricultural and Forestry Equipment</t>
  </si>
  <si>
    <t>Depreciation-Marine and Fishery Equipment</t>
  </si>
  <si>
    <t>Depreciation-Airport Equipment</t>
  </si>
  <si>
    <t>Depreciation-Communications Equipment</t>
  </si>
  <si>
    <t>Depreciation-Construction and Heavy Equipment</t>
  </si>
  <si>
    <t>Depreciation-Disaster Response and Rescue Equipment</t>
  </si>
  <si>
    <t>Depreciation-Military, Police and Security Equipment</t>
  </si>
  <si>
    <t>Depreciation-Medical Equipment</t>
  </si>
  <si>
    <t>Depreciation-Printing Equipment</t>
  </si>
  <si>
    <t>Depreciation-Sports Equipment</t>
  </si>
  <si>
    <t>Depreciation-Technical and Scientific Equipment</t>
  </si>
  <si>
    <t>Depreciation-Other Machinery and Equipment</t>
  </si>
  <si>
    <t>Depreciation-Motor Vehicles</t>
  </si>
  <si>
    <t>Depreciation-Trains</t>
  </si>
  <si>
    <t>Depreciation-Aircrafts and Aircrafts Ground Equipment</t>
  </si>
  <si>
    <t>Depreciation-Watercrafts</t>
  </si>
  <si>
    <t>Depreciation-Other Transportation Equipment</t>
  </si>
  <si>
    <t>Depreciation-Furniture and Fixtures</t>
  </si>
  <si>
    <t>Depreciation-Books</t>
  </si>
  <si>
    <t>Depreciation-Leased Assets-Buildings and Other Structures</t>
  </si>
  <si>
    <t>Depreciation-Leased Assets-Machinery and Equipment</t>
  </si>
  <si>
    <t>Depreciation-Leased Assets-Transportation Equipment</t>
  </si>
  <si>
    <t>Depreciation-Other Leased Assets</t>
  </si>
  <si>
    <t>Depreciation-Leased Assets Improvements-Land</t>
  </si>
  <si>
    <t>Depreciation-Leased Assets Improvements-Buildings</t>
  </si>
  <si>
    <t>Depreciation-Other Leased Assets Improvements</t>
  </si>
  <si>
    <t>Depreciation-Historical Buildings</t>
  </si>
  <si>
    <t>Depreciation-Works of Artss and Archeological Specimens</t>
  </si>
  <si>
    <t>Depreciation-Other Heritage Assets</t>
  </si>
  <si>
    <t>Depreciation-Service Concession Assets-Road Networks</t>
  </si>
  <si>
    <t>Depreciation-Service Concession Assets-Flood Control Systems</t>
  </si>
  <si>
    <t>Depreciation-Service Concession Assets-Sewer Systems</t>
  </si>
  <si>
    <t>Depreciation-Service Concession Assets-Water Supply Systems</t>
  </si>
  <si>
    <t>Depreciation-Service Concession Assets-Power Supply Systems</t>
  </si>
  <si>
    <t>Depreciation-Service Concession Assets-Communications Networks</t>
  </si>
  <si>
    <t>Depreciation-Service Concession Assets-Seaport Systems</t>
  </si>
  <si>
    <t>Depreciation-Service Concession Assets-Airport Systems</t>
  </si>
  <si>
    <t>Depreciation-Service Concession Assets-Parks, Plazas and Monuments</t>
  </si>
  <si>
    <t>Depreciation-Service Concession Assets-Railway Systems</t>
  </si>
  <si>
    <t>Depreciation-Service Concession Assets-Buildings and Other Structures</t>
  </si>
  <si>
    <t>Depreciation-Other Service Concession Assets</t>
  </si>
  <si>
    <t>Depreciation-Work/Zoo Animals</t>
  </si>
  <si>
    <t>Depreciation-Other Property, Plant and Equipment</t>
  </si>
  <si>
    <t>Amortization-Patents/Copyrights</t>
  </si>
  <si>
    <t>Amortization-Computer Software</t>
  </si>
  <si>
    <t>Amortization-Other Intangible Assets</t>
  </si>
  <si>
    <t>Impairment Loss-Financial Assets Held to Maturity</t>
  </si>
  <si>
    <t>Impairment Loss-Loans and Receivables</t>
  </si>
  <si>
    <t>Impairment Loss-Lease Receivables</t>
  </si>
  <si>
    <t>Impairment Loss-Investments in GOCCs</t>
  </si>
  <si>
    <t>Impairment Loss-Investments in Joint Venture</t>
  </si>
  <si>
    <t>Impairment Loss-Other Receivables</t>
  </si>
  <si>
    <t>Impairment Loss-Inventories</t>
  </si>
  <si>
    <t>Impairment Loss-Investment Property, Land</t>
  </si>
  <si>
    <t>Impairment Loss-Investment Property, Buildings</t>
  </si>
  <si>
    <t>Impairment Loss-Property, Plant and Equipment</t>
  </si>
  <si>
    <t>Impairment Loss-Biological Assets</t>
  </si>
  <si>
    <t>Impairment Loss-Patents/Copyrights</t>
  </si>
  <si>
    <t>Impairment Loss-Computer Software</t>
  </si>
  <si>
    <t>Impairment Loss-Websites</t>
  </si>
  <si>
    <t>Impairment Loss-Other Intangible Assets</t>
  </si>
  <si>
    <t>Impairment Loss-Investments in Associates</t>
  </si>
  <si>
    <t>Impairment Loss-Other Assets</t>
  </si>
  <si>
    <t>Loss on Foreign Exchange (FOREX)</t>
  </si>
  <si>
    <t>Loss on Sale of Investments</t>
  </si>
  <si>
    <t>Loss on Sale of Investment Property</t>
  </si>
  <si>
    <t>Loss on Sale of Property, Plant and Equipment</t>
  </si>
  <si>
    <t>Loss on Sale of Biological Assets</t>
  </si>
  <si>
    <t>Loss on Sale of Agricultural Produce</t>
  </si>
  <si>
    <t>Loss on Sale of Intangible Assets</t>
  </si>
  <si>
    <t>Loss on Sale of Assets</t>
  </si>
  <si>
    <t>Loss of Assets</t>
  </si>
  <si>
    <t>Loss on Initial Recognition of Biological Assets</t>
  </si>
  <si>
    <t>Loss from Changes in Fair Value of Financial Instruments</t>
  </si>
  <si>
    <t>Loss from Changes in Fair Value Less Costs to Sell of Biological Assets Due to Physical Change</t>
  </si>
  <si>
    <t>Loss from Changes in Fair Value Less Costs to Sell of Biological Assets Due to Price Change</t>
  </si>
  <si>
    <t>Other Losses</t>
  </si>
  <si>
    <t>Column1</t>
  </si>
  <si>
    <t>IFERROR(VLOOKUP(ROWS($C$2:C2),$A$2:$B$635,2,0),"")</t>
  </si>
  <si>
    <t>Atty. FLOSIE F. FANLO-TAYAG, CESO IV</t>
  </si>
  <si>
    <t>Deputy Executive Director for Administration</t>
  </si>
  <si>
    <t>ARMI M. ADVINCULA</t>
  </si>
  <si>
    <t>Director II, Internal Administration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</si>
</sst>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00"/>
    <numFmt numFmtId="165" formatCode="mmm\.\ d\,\ yyyy"/>
    <numFmt numFmtId="166" formatCode="yyyy\-mm\-"/>
    <numFmt numFmtId="167" formatCode="0000"/>
    <numFmt numFmtId="168" formatCode="_(* #,##0.00_);_(* \(#,##0.00\);_(* &quot; &quot;??_);_(@_)"/>
    <numFmt numFmtId="169" formatCode="0\ 00\ 00\ 00\ 0\ 00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14"/>
      <name val="Arial"/>
      <family val="2"/>
    </font>
    <font>
      <b/>
      <sz val="11"/>
      <name val="Times New Roman"/>
      <family val="1"/>
    </font>
    <font>
      <i/>
      <sz val="14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b/>
      <u/>
      <sz val="12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sz val="11"/>
      <color theme="1"/>
      <name val="Arial Narrow"/>
      <family val="2"/>
    </font>
    <font>
      <sz val="11"/>
      <color theme="1"/>
      <name val="Arial Narrow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69">
    <xf numFmtId="0" fontId="0" fillId="0" borderId="0" xfId="0"/>
    <xf numFmtId="0" fontId="3" fillId="0" borderId="0" xfId="0" applyFont="1"/>
    <xf numFmtId="0" fontId="3" fillId="0" borderId="0" xfId="0" applyFont="1" applyBorder="1"/>
    <xf numFmtId="0" fontId="2" fillId="0" borderId="1" xfId="0" applyFont="1" applyBorder="1"/>
    <xf numFmtId="0" fontId="2" fillId="0" borderId="0" xfId="0" applyFont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49" fontId="2" fillId="0" borderId="4" xfId="0" applyNumberFormat="1" applyFont="1" applyBorder="1"/>
    <xf numFmtId="49" fontId="2" fillId="0" borderId="0" xfId="0" applyNumberFormat="1" applyFont="1"/>
    <xf numFmtId="0" fontId="2" fillId="0" borderId="0" xfId="0" applyFont="1" applyBorder="1" applyAlignment="1">
      <alignment horizontal="left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 applyAlignment="1">
      <alignment horizontal="left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 applyAlignment="1">
      <alignment wrapText="1"/>
    </xf>
    <xf numFmtId="0" fontId="3" fillId="0" borderId="11" xfId="0" applyFont="1" applyBorder="1"/>
    <xf numFmtId="0" fontId="3" fillId="0" borderId="6" xfId="0" applyFont="1" applyBorder="1" applyAlignment="1"/>
    <xf numFmtId="0" fontId="3" fillId="0" borderId="5" xfId="0" applyFont="1" applyBorder="1"/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3" fillId="0" borderId="16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0" xfId="0" applyFont="1" applyFill="1" applyBorder="1"/>
    <xf numFmtId="0" fontId="3" fillId="0" borderId="0" xfId="0" applyFont="1" applyFill="1" applyBorder="1" applyAlignment="1"/>
    <xf numFmtId="0" fontId="3" fillId="0" borderId="9" xfId="0" applyFont="1" applyBorder="1" applyAlignment="1">
      <alignment vertical="top"/>
    </xf>
    <xf numFmtId="0" fontId="3" fillId="0" borderId="9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 applyBorder="1" applyAlignment="1"/>
    <xf numFmtId="0" fontId="3" fillId="0" borderId="3" xfId="0" applyFont="1" applyBorder="1" applyAlignment="1">
      <alignment wrapText="1"/>
    </xf>
    <xf numFmtId="0" fontId="3" fillId="0" borderId="0" xfId="0" applyFont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" xfId="0" applyFont="1" applyBorder="1" applyAlignment="1"/>
    <xf numFmtId="0" fontId="3" fillId="0" borderId="1" xfId="0" applyFont="1" applyBorder="1"/>
    <xf numFmtId="0" fontId="3" fillId="0" borderId="1" xfId="0" applyFont="1" applyFill="1" applyBorder="1" applyAlignment="1"/>
    <xf numFmtId="0" fontId="4" fillId="0" borderId="24" xfId="0" applyFont="1" applyBorder="1" applyAlignment="1"/>
    <xf numFmtId="0" fontId="3" fillId="0" borderId="4" xfId="0" applyFont="1" applyBorder="1" applyAlignment="1"/>
    <xf numFmtId="0" fontId="3" fillId="0" borderId="25" xfId="0" applyFont="1" applyBorder="1"/>
    <xf numFmtId="0" fontId="4" fillId="0" borderId="24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164" fontId="10" fillId="0" borderId="0" xfId="0" applyNumberFormat="1" applyFont="1"/>
    <xf numFmtId="0" fontId="10" fillId="0" borderId="0" xfId="0" applyFont="1"/>
    <xf numFmtId="0" fontId="4" fillId="0" borderId="5" xfId="0" applyFont="1" applyBorder="1" applyAlignment="1"/>
    <xf numFmtId="0" fontId="4" fillId="0" borderId="6" xfId="0" applyFont="1" applyBorder="1"/>
    <xf numFmtId="0" fontId="4" fillId="0" borderId="0" xfId="0" applyFont="1" applyBorder="1"/>
    <xf numFmtId="49" fontId="10" fillId="0" borderId="8" xfId="0" applyNumberFormat="1" applyFont="1" applyBorder="1" applyAlignment="1">
      <alignment horizontal="center" vertical="center" wrapText="1"/>
    </xf>
    <xf numFmtId="0" fontId="2" fillId="0" borderId="8" xfId="0" applyFont="1" applyBorder="1"/>
    <xf numFmtId="0" fontId="12" fillId="0" borderId="8" xfId="0" applyFont="1" applyBorder="1"/>
    <xf numFmtId="49" fontId="12" fillId="0" borderId="8" xfId="0" applyNumberFormat="1" applyFont="1" applyBorder="1"/>
    <xf numFmtId="0" fontId="3" fillId="0" borderId="14" xfId="0" applyFont="1" applyBorder="1" applyAlignment="1">
      <alignment vertical="center"/>
    </xf>
    <xf numFmtId="0" fontId="14" fillId="0" borderId="0" xfId="1" applyFont="1" applyAlignment="1">
      <alignment horizontal="center"/>
    </xf>
    <xf numFmtId="0" fontId="14" fillId="0" borderId="0" xfId="1" applyFont="1"/>
    <xf numFmtId="0" fontId="14" fillId="0" borderId="0" xfId="1" applyFont="1" applyAlignment="1">
      <alignment horizontal="left"/>
    </xf>
    <xf numFmtId="0" fontId="15" fillId="0" borderId="0" xfId="1" applyFont="1" applyAlignment="1">
      <alignment horizontal="center"/>
    </xf>
    <xf numFmtId="0" fontId="15" fillId="0" borderId="0" xfId="1" applyNumberFormat="1" applyFont="1" applyAlignment="1">
      <alignment horizontal="center"/>
    </xf>
    <xf numFmtId="0" fontId="15" fillId="0" borderId="0" xfId="1" applyNumberFormat="1" applyFont="1" applyFill="1" applyAlignment="1">
      <alignment horizontal="center"/>
    </xf>
    <xf numFmtId="0" fontId="15" fillId="0" borderId="0" xfId="1" applyFont="1" applyAlignment="1">
      <alignment horizontal="left"/>
    </xf>
    <xf numFmtId="0" fontId="3" fillId="0" borderId="21" xfId="0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68" fontId="3" fillId="0" borderId="21" xfId="0" applyNumberFormat="1" applyFont="1" applyBorder="1" applyAlignment="1">
      <alignment horizontal="center" wrapText="1"/>
    </xf>
    <xf numFmtId="168" fontId="3" fillId="0" borderId="0" xfId="0" applyNumberFormat="1" applyFont="1" applyBorder="1" applyAlignment="1">
      <alignment horizontal="center" wrapText="1"/>
    </xf>
    <xf numFmtId="168" fontId="3" fillId="0" borderId="1" xfId="0" applyNumberFormat="1" applyFont="1" applyBorder="1" applyAlignment="1">
      <alignment horizontal="center" wrapText="1"/>
    </xf>
    <xf numFmtId="43" fontId="4" fillId="0" borderId="26" xfId="0" applyNumberFormat="1" applyFont="1" applyBorder="1" applyAlignment="1">
      <alignment horizontal="center" wrapText="1"/>
    </xf>
    <xf numFmtId="43" fontId="4" fillId="0" borderId="27" xfId="0" applyNumberFormat="1" applyFont="1" applyBorder="1" applyAlignment="1">
      <alignment horizontal="center" wrapText="1"/>
    </xf>
    <xf numFmtId="43" fontId="4" fillId="0" borderId="28" xfId="0" applyNumberFormat="1" applyFont="1" applyBorder="1" applyAlignment="1">
      <alignment horizontal="center" wrapText="1"/>
    </xf>
    <xf numFmtId="0" fontId="3" fillId="0" borderId="30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11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169" fontId="3" fillId="0" borderId="17" xfId="0" applyNumberFormat="1" applyFont="1" applyBorder="1" applyAlignment="1">
      <alignment horizontal="center" vertical="center" wrapText="1"/>
    </xf>
    <xf numFmtId="169" fontId="3" fillId="0" borderId="7" xfId="0" applyNumberFormat="1" applyFont="1" applyBorder="1" applyAlignment="1">
      <alignment horizontal="center" vertical="center" wrapText="1"/>
    </xf>
    <xf numFmtId="169" fontId="3" fillId="0" borderId="23" xfId="0" applyNumberFormat="1" applyFont="1" applyBorder="1" applyAlignment="1">
      <alignment horizontal="center" vertical="center" wrapText="1"/>
    </xf>
    <xf numFmtId="169" fontId="3" fillId="0" borderId="21" xfId="0" applyNumberFormat="1" applyFont="1" applyBorder="1" applyAlignment="1">
      <alignment horizontal="center" vertical="center" wrapText="1"/>
    </xf>
    <xf numFmtId="169" fontId="3" fillId="0" borderId="0" xfId="0" applyNumberFormat="1" applyFont="1" applyBorder="1" applyAlignment="1">
      <alignment horizontal="center" vertical="center" wrapText="1"/>
    </xf>
    <xf numFmtId="169" fontId="3" fillId="0" borderId="19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9" xfId="0" applyFont="1" applyBorder="1" applyAlignment="1">
      <alignment horizontal="center" wrapText="1"/>
    </xf>
    <xf numFmtId="0" fontId="3" fillId="0" borderId="1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wrapText="1"/>
    </xf>
    <xf numFmtId="0" fontId="3" fillId="0" borderId="2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9" fillId="0" borderId="0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13" fillId="0" borderId="21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165" fontId="4" fillId="0" borderId="7" xfId="0" applyNumberFormat="1" applyFont="1" applyBorder="1" applyAlignment="1">
      <alignment horizontal="center" wrapText="1"/>
    </xf>
    <xf numFmtId="165" fontId="4" fillId="0" borderId="22" xfId="0" applyNumberFormat="1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166" fontId="4" fillId="0" borderId="10" xfId="0" applyNumberFormat="1" applyFont="1" applyBorder="1" applyAlignment="1">
      <alignment horizontal="right" vertical="center" wrapText="1"/>
    </xf>
    <xf numFmtId="166" fontId="4" fillId="0" borderId="9" xfId="0" applyNumberFormat="1" applyFont="1" applyBorder="1" applyAlignment="1">
      <alignment horizontal="right" vertical="center" wrapText="1"/>
    </xf>
    <xf numFmtId="167" fontId="4" fillId="0" borderId="9" xfId="0" applyNumberFormat="1" applyFont="1" applyBorder="1" applyAlignment="1">
      <alignment horizontal="left" vertical="center" wrapText="1"/>
    </xf>
    <xf numFmtId="167" fontId="4" fillId="0" borderId="3" xfId="0" applyNumberFormat="1" applyFont="1" applyBorder="1" applyAlignment="1">
      <alignment horizontal="left" vertical="center" wrapText="1"/>
    </xf>
    <xf numFmtId="0" fontId="3" fillId="0" borderId="21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44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8" fillId="0" borderId="0" xfId="0" applyFont="1" applyAlignment="1">
      <alignment horizontal="right" vertical="center" wrapText="1"/>
    </xf>
    <xf numFmtId="0" fontId="11" fillId="0" borderId="42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1" fillId="0" borderId="43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19" xfId="0" applyFont="1" applyBorder="1" applyAlignment="1">
      <alignment horizontal="center" wrapText="1"/>
    </xf>
    <xf numFmtId="0" fontId="4" fillId="0" borderId="44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4" fillId="0" borderId="21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42" xfId="0" applyFont="1" applyBorder="1" applyAlignment="1">
      <alignment horizontal="left" vertical="center" wrapText="1"/>
    </xf>
    <xf numFmtId="0" fontId="4" fillId="0" borderId="4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3" fillId="0" borderId="44" xfId="0" applyFont="1" applyBorder="1" applyAlignment="1">
      <alignment horizontal="center" wrapText="1"/>
    </xf>
    <xf numFmtId="0" fontId="3" fillId="0" borderId="1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4" fillId="0" borderId="42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4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4" fillId="0" borderId="44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3" fillId="0" borderId="44" xfId="0" applyFont="1" applyBorder="1" applyAlignment="1">
      <alignment wrapText="1"/>
    </xf>
    <xf numFmtId="0" fontId="3" fillId="0" borderId="43" xfId="0" applyFont="1" applyBorder="1" applyAlignment="1">
      <alignment wrapText="1"/>
    </xf>
    <xf numFmtId="49" fontId="4" fillId="0" borderId="21" xfId="0" applyNumberFormat="1" applyFont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center" vertical="center" wrapText="1"/>
    </xf>
    <xf numFmtId="49" fontId="4" fillId="0" borderId="19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justify" wrapText="1"/>
    </xf>
    <xf numFmtId="0" fontId="4" fillId="0" borderId="7" xfId="0" applyFont="1" applyBorder="1" applyAlignment="1">
      <alignment horizontal="justify" wrapText="1"/>
    </xf>
    <xf numFmtId="0" fontId="4" fillId="0" borderId="22" xfId="0" applyFont="1" applyBorder="1" applyAlignment="1">
      <alignment horizontal="justify" wrapText="1"/>
    </xf>
    <xf numFmtId="49" fontId="3" fillId="0" borderId="39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49" fontId="3" fillId="0" borderId="40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/>
    </xf>
    <xf numFmtId="49" fontId="3" fillId="0" borderId="18" xfId="0" applyNumberFormat="1" applyFont="1" applyBorder="1" applyAlignment="1">
      <alignment horizontal="center"/>
    </xf>
    <xf numFmtId="49" fontId="3" fillId="0" borderId="14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22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0" fontId="4" fillId="0" borderId="13" xfId="0" applyFont="1" applyBorder="1" applyAlignment="1">
      <alignment vertical="center" wrapText="1"/>
    </xf>
    <xf numFmtId="0" fontId="3" fillId="0" borderId="5" xfId="0" applyFont="1" applyBorder="1" applyAlignment="1">
      <alignment wrapText="1"/>
    </xf>
    <xf numFmtId="0" fontId="3" fillId="0" borderId="8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5" xfId="0" applyFont="1" applyBorder="1" applyAlignment="1">
      <alignment horizontal="left" vertical="center" wrapText="1" indent="2"/>
    </xf>
    <xf numFmtId="0" fontId="3" fillId="0" borderId="0" xfId="0" applyFont="1" applyBorder="1" applyAlignment="1">
      <alignment horizontal="left" vertical="center" wrapText="1" indent="2"/>
    </xf>
    <xf numFmtId="0" fontId="3" fillId="0" borderId="19" xfId="0" applyFont="1" applyBorder="1" applyAlignment="1">
      <alignment horizontal="left" vertical="center" wrapText="1" indent="2"/>
    </xf>
    <xf numFmtId="0" fontId="3" fillId="0" borderId="20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12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169" fontId="3" fillId="0" borderId="10" xfId="0" applyNumberFormat="1" applyFont="1" applyBorder="1" applyAlignment="1">
      <alignment horizontal="center" vertical="center" wrapText="1"/>
    </xf>
    <xf numFmtId="169" fontId="3" fillId="0" borderId="9" xfId="0" applyNumberFormat="1" applyFont="1" applyBorder="1" applyAlignment="1">
      <alignment horizontal="center" vertical="center" wrapText="1"/>
    </xf>
    <xf numFmtId="169" fontId="3" fillId="0" borderId="15" xfId="0" applyNumberFormat="1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17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22" xfId="0" applyFont="1" applyBorder="1" applyAlignment="1">
      <alignment wrapText="1"/>
    </xf>
    <xf numFmtId="0" fontId="3" fillId="0" borderId="1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35" xfId="0" applyFont="1" applyBorder="1" applyAlignment="1">
      <alignment vertical="center" wrapText="1"/>
    </xf>
    <xf numFmtId="0" fontId="3" fillId="0" borderId="36" xfId="0" applyFont="1" applyBorder="1" applyAlignment="1">
      <alignment vertical="center" wrapText="1"/>
    </xf>
    <xf numFmtId="0" fontId="3" fillId="0" borderId="37" xfId="0" applyFont="1" applyBorder="1" applyAlignment="1">
      <alignment vertical="center" wrapText="1"/>
    </xf>
    <xf numFmtId="0" fontId="3" fillId="0" borderId="19" xfId="0" applyFont="1" applyBorder="1" applyAlignment="1">
      <alignment wrapText="1"/>
    </xf>
    <xf numFmtId="0" fontId="3" fillId="0" borderId="30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31" xfId="0" applyFont="1" applyBorder="1" applyAlignment="1">
      <alignment wrapText="1"/>
    </xf>
    <xf numFmtId="0" fontId="3" fillId="0" borderId="16" xfId="0" applyFont="1" applyBorder="1" applyAlignment="1">
      <alignment wrapText="1"/>
    </xf>
    <xf numFmtId="0" fontId="3" fillId="0" borderId="23" xfId="0" applyFont="1" applyBorder="1" applyAlignment="1">
      <alignment wrapText="1"/>
    </xf>
    <xf numFmtId="0" fontId="3" fillId="0" borderId="17" xfId="0" applyFont="1" applyBorder="1" applyAlignment="1">
      <alignment vertical="justify" wrapText="1"/>
    </xf>
    <xf numFmtId="0" fontId="3" fillId="0" borderId="7" xfId="0" applyFont="1" applyBorder="1" applyAlignment="1">
      <alignment vertical="justify" wrapText="1"/>
    </xf>
    <xf numFmtId="0" fontId="3" fillId="0" borderId="23" xfId="0" applyFont="1" applyBorder="1" applyAlignment="1">
      <alignment vertical="justify" wrapText="1"/>
    </xf>
    <xf numFmtId="0" fontId="3" fillId="0" borderId="30" xfId="0" applyFont="1" applyBorder="1" applyAlignment="1">
      <alignment vertical="justify" wrapText="1"/>
    </xf>
    <xf numFmtId="0" fontId="3" fillId="0" borderId="6" xfId="0" applyFont="1" applyBorder="1" applyAlignment="1">
      <alignment vertical="justify" wrapText="1"/>
    </xf>
    <xf numFmtId="0" fontId="3" fillId="0" borderId="31" xfId="0" applyFont="1" applyBorder="1" applyAlignment="1">
      <alignment vertical="justify" wrapText="1"/>
    </xf>
    <xf numFmtId="0" fontId="3" fillId="0" borderId="3" xfId="0" applyFont="1" applyBorder="1" applyAlignment="1">
      <alignment wrapText="1"/>
    </xf>
    <xf numFmtId="0" fontId="3" fillId="0" borderId="21" xfId="0" applyFont="1" applyBorder="1" applyAlignment="1">
      <alignment vertical="justify" wrapText="1"/>
    </xf>
    <xf numFmtId="0" fontId="3" fillId="0" borderId="0" xfId="0" applyFont="1" applyBorder="1" applyAlignment="1">
      <alignment vertical="justify" wrapText="1"/>
    </xf>
    <xf numFmtId="0" fontId="3" fillId="0" borderId="19" xfId="0" applyFont="1" applyBorder="1" applyAlignment="1">
      <alignment vertical="justify" wrapText="1"/>
    </xf>
    <xf numFmtId="0" fontId="3" fillId="0" borderId="21" xfId="0" applyFont="1" applyBorder="1" applyAlignment="1">
      <alignment horizontal="left" vertical="justify" wrapText="1"/>
    </xf>
    <xf numFmtId="0" fontId="4" fillId="0" borderId="40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13" fillId="0" borderId="10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43" fontId="3" fillId="0" borderId="21" xfId="0" applyNumberFormat="1" applyFont="1" applyBorder="1" applyAlignment="1">
      <alignment horizontal="center" wrapText="1"/>
    </xf>
  </cellXfs>
  <cellStyles count="2">
    <cellStyle name="Normal" xfId="0" builtinId="0"/>
    <cellStyle name="Normal 2" xfId="1"/>
  </cellStyles>
  <dxfs count="10">
    <dxf>
      <font>
        <strike val="0"/>
        <outline val="0"/>
        <shadow val="0"/>
        <u val="none"/>
        <vertAlign val="baseline"/>
        <sz val="11"/>
        <color theme="1"/>
        <name val="Arial Narrow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Narrow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Narrow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Narrow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Narrow"/>
        <scheme val="none"/>
      </font>
      <alignment horizontal="center" vertical="bottom" textRotation="0" wrapText="0" indent="0" justifyLastLine="0" shrinkToFit="0" readingOrder="0"/>
    </dxf>
    <dxf>
      <font>
        <color rgb="FF00B050"/>
      </font>
      <fill>
        <patternFill patternType="lightVertical">
          <fgColor rgb="FFFFFF99"/>
        </patternFill>
      </fill>
    </dxf>
    <dxf>
      <font>
        <color rgb="FFFF0000"/>
      </font>
      <fill>
        <patternFill patternType="darkVertical">
          <fgColor rgb="FFFFFF9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55419</xdr:colOff>
      <xdr:row>2</xdr:row>
      <xdr:rowOff>83126</xdr:rowOff>
    </xdr:from>
    <xdr:to>
      <xdr:col>3</xdr:col>
      <xdr:colOff>145473</xdr:colOff>
      <xdr:row>6</xdr:row>
      <xdr:rowOff>117762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19" y="83126"/>
          <a:ext cx="893618" cy="89361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F1136" totalsRowShown="0" headerRowDxfId="7" dataDxfId="6">
  <autoFilter ref="A1:F1136"/>
  <tableColumns count="6">
    <tableColumn id="1" name="UACS" dataDxfId="5"/>
    <tableColumn id="2" name="Check Duplicates" dataDxfId="4"/>
    <tableColumn id="5" name="Object Code" dataDxfId="3">
      <calculatedColumnFormula>RIGHT(Table1[[#This Row],[UACS]],2)*1</calculatedColumnFormula>
    </tableColumn>
    <tableColumn id="4" name="RCA" dataDxfId="2"/>
    <tableColumn id="6" name="Column1" dataDxfId="1" dataCellStyle="Normal 2">
      <calculatedColumnFormula>IF(ISNUMBER(SEARCH($I$1,F2)),MAX($F1:F$2)+1,0)</calculatedColumnFormula>
    </tableColumn>
    <tableColumn id="3" name="Account Titl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L57"/>
  <sheetViews>
    <sheetView tabSelected="1" view="pageBreakPreview" topLeftCell="A12" zoomScale="110" zoomScaleSheetLayoutView="110" workbookViewId="0">
      <selection activeCell="Q16" sqref="Q16:U20"/>
    </sheetView>
  </sheetViews>
  <sheetFormatPr defaultRowHeight="13.2" x14ac:dyDescent="0.25"/>
  <cols>
    <col min="1" max="1" width="2.5546875" style="1" customWidth="1"/>
    <col min="2" max="2" width="4" style="1" customWidth="1"/>
    <col min="3" max="3" width="5.109375" style="1" customWidth="1"/>
    <col min="4" max="4" width="2.44140625" style="1" customWidth="1"/>
    <col min="5" max="9" width="2.88671875" style="1" customWidth="1"/>
    <col min="10" max="10" width="5.21875" style="1" customWidth="1"/>
    <col min="11" max="16" width="2.88671875" style="1" customWidth="1"/>
    <col min="17" max="17" width="2" style="1" customWidth="1"/>
    <col min="18" max="21" width="2.88671875" style="1" customWidth="1"/>
    <col min="22" max="22" width="5.21875" style="1" customWidth="1"/>
    <col min="23" max="31" width="2.88671875" style="1" customWidth="1"/>
    <col min="32" max="32" width="4" style="1" customWidth="1"/>
    <col min="33" max="33" width="0.109375" style="1" hidden="1" customWidth="1"/>
    <col min="34" max="34" width="8.88671875" style="1"/>
    <col min="35" max="38" width="33.6640625" style="1" hidden="1" customWidth="1"/>
    <col min="39" max="39" width="8.88671875" style="1" customWidth="1"/>
    <col min="40" max="16384" width="8.88671875" style="1"/>
  </cols>
  <sheetData>
    <row r="1" spans="1:38" ht="18.75" hidden="1" customHeight="1" x14ac:dyDescent="0.25">
      <c r="AA1" s="130" t="s">
        <v>40</v>
      </c>
      <c r="AB1" s="130"/>
      <c r="AC1" s="130"/>
      <c r="AD1" s="130"/>
      <c r="AE1" s="130"/>
      <c r="AF1" s="130"/>
    </row>
    <row r="2" spans="1:38" ht="15" hidden="1" customHeight="1" thickBot="1" x14ac:dyDescent="0.3">
      <c r="AA2" s="34"/>
    </row>
    <row r="3" spans="1:38" ht="21" customHeight="1" x14ac:dyDescent="0.3">
      <c r="A3" s="131" t="s">
        <v>46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3"/>
      <c r="AA3" s="137" t="s">
        <v>30</v>
      </c>
      <c r="AB3" s="138"/>
      <c r="AC3" s="138"/>
      <c r="AD3" s="138"/>
      <c r="AE3" s="138"/>
      <c r="AF3" s="139"/>
    </row>
    <row r="4" spans="1:38" ht="15.75" customHeight="1" x14ac:dyDescent="0.25">
      <c r="A4" s="134" t="s">
        <v>25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6"/>
      <c r="AA4" s="70" t="s">
        <v>47</v>
      </c>
      <c r="AB4" s="71"/>
      <c r="AC4" s="71"/>
      <c r="AD4" s="71"/>
      <c r="AE4" s="71"/>
      <c r="AF4" s="72"/>
      <c r="AH4" s="44"/>
      <c r="AI4" s="45"/>
    </row>
    <row r="5" spans="1:38" ht="15" customHeight="1" x14ac:dyDescent="0.25">
      <c r="A5" s="140" t="s">
        <v>14</v>
      </c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2"/>
      <c r="AA5" s="113" t="s">
        <v>31</v>
      </c>
      <c r="AB5" s="114"/>
      <c r="AC5" s="115">
        <f ca="1">TODAY()</f>
        <v>42396</v>
      </c>
      <c r="AD5" s="115"/>
      <c r="AE5" s="115"/>
      <c r="AF5" s="116"/>
      <c r="AH5" s="44"/>
      <c r="AI5" s="45" t="s">
        <v>47</v>
      </c>
    </row>
    <row r="6" spans="1:38" ht="15" customHeight="1" x14ac:dyDescent="0.25">
      <c r="A6" s="140"/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2"/>
      <c r="AA6" s="146" t="s">
        <v>32</v>
      </c>
      <c r="AB6" s="147"/>
      <c r="AC6" s="147"/>
      <c r="AD6" s="147"/>
      <c r="AE6" s="147"/>
      <c r="AF6" s="148"/>
      <c r="AH6" s="44"/>
      <c r="AI6" s="45" t="s">
        <v>56</v>
      </c>
    </row>
    <row r="7" spans="1:38" ht="15.6" customHeight="1" thickBot="1" x14ac:dyDescent="0.3">
      <c r="A7" s="143"/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5"/>
      <c r="AA7" s="120">
        <f ca="1">NOW()</f>
        <v>42396.685146180556</v>
      </c>
      <c r="AB7" s="121"/>
      <c r="AC7" s="121"/>
      <c r="AD7" s="121"/>
      <c r="AE7" s="122"/>
      <c r="AF7" s="123"/>
      <c r="AH7" s="44"/>
      <c r="AI7" s="45"/>
    </row>
    <row r="8" spans="1:38" s="4" customFormat="1" ht="9.75" customHeight="1" x14ac:dyDescent="0.25">
      <c r="A8" s="149" t="s">
        <v>13</v>
      </c>
      <c r="B8" s="138"/>
      <c r="C8" s="150"/>
      <c r="D8" s="157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9"/>
      <c r="AG8" s="3"/>
      <c r="AH8" s="44"/>
      <c r="AI8" s="45"/>
    </row>
    <row r="9" spans="1:38" s="4" customFormat="1" ht="13.8" x14ac:dyDescent="0.25">
      <c r="A9" s="151"/>
      <c r="B9" s="152"/>
      <c r="C9" s="153"/>
      <c r="D9" s="29"/>
      <c r="E9" s="30"/>
      <c r="F9" s="14"/>
      <c r="G9" s="32" t="s">
        <v>0</v>
      </c>
      <c r="H9" s="2"/>
      <c r="I9" s="2"/>
      <c r="J9" s="32"/>
      <c r="K9" s="14"/>
      <c r="L9" s="2" t="s">
        <v>1</v>
      </c>
      <c r="M9" s="30"/>
      <c r="N9" s="2"/>
      <c r="O9" s="2"/>
      <c r="P9" s="2"/>
      <c r="Q9" s="2"/>
      <c r="R9" s="14"/>
      <c r="S9" s="2" t="s">
        <v>58</v>
      </c>
      <c r="T9" s="30"/>
      <c r="U9" s="2"/>
      <c r="W9" s="14"/>
      <c r="X9" s="2" t="s">
        <v>38</v>
      </c>
      <c r="Y9" s="5"/>
      <c r="Z9" s="5"/>
      <c r="AA9" s="5"/>
      <c r="AB9" s="2"/>
      <c r="AC9" s="2"/>
      <c r="AD9" s="30"/>
      <c r="AE9" s="30"/>
      <c r="AF9" s="31"/>
      <c r="AG9" s="3"/>
      <c r="AH9" s="44"/>
      <c r="AI9" s="45"/>
    </row>
    <row r="10" spans="1:38" s="4" customFormat="1" ht="14.25" customHeight="1" thickBot="1" x14ac:dyDescent="0.3">
      <c r="A10" s="154"/>
      <c r="B10" s="155"/>
      <c r="C10" s="156"/>
      <c r="D10" s="16"/>
      <c r="E10" s="28"/>
      <c r="F10" s="28"/>
      <c r="G10" s="28"/>
      <c r="H10" s="15"/>
      <c r="I10" s="160"/>
      <c r="J10" s="160"/>
      <c r="K10" s="160"/>
      <c r="L10" s="160"/>
      <c r="M10" s="28"/>
      <c r="N10" s="160"/>
      <c r="O10" s="160"/>
      <c r="P10" s="160"/>
      <c r="Q10" s="160"/>
      <c r="R10" s="160"/>
      <c r="S10" s="160"/>
      <c r="T10" s="28"/>
      <c r="U10" s="28"/>
      <c r="V10" s="28"/>
      <c r="W10" s="28"/>
      <c r="X10" s="28"/>
      <c r="Y10" s="28"/>
      <c r="Z10" s="27" t="s">
        <v>39</v>
      </c>
      <c r="AA10" s="28"/>
      <c r="AB10" s="28"/>
      <c r="AC10" s="28"/>
      <c r="AD10" s="28"/>
      <c r="AE10" s="28"/>
      <c r="AF10" s="33"/>
      <c r="AG10" s="3"/>
      <c r="AH10" s="44"/>
      <c r="AI10" s="45"/>
    </row>
    <row r="11" spans="1:38" s="4" customFormat="1" ht="15" customHeight="1" x14ac:dyDescent="0.25">
      <c r="A11" s="161" t="s">
        <v>2</v>
      </c>
      <c r="B11" s="162"/>
      <c r="C11" s="163"/>
      <c r="D11" s="167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3"/>
      <c r="R11" s="169" t="s">
        <v>44</v>
      </c>
      <c r="S11" s="158"/>
      <c r="T11" s="158"/>
      <c r="U11" s="158"/>
      <c r="V11" s="158"/>
      <c r="W11" s="158"/>
      <c r="X11" s="158"/>
      <c r="Y11" s="158"/>
      <c r="Z11" s="170"/>
      <c r="AA11" s="127" t="s">
        <v>43</v>
      </c>
      <c r="AB11" s="128"/>
      <c r="AC11" s="128"/>
      <c r="AD11" s="128"/>
      <c r="AE11" s="128"/>
      <c r="AF11" s="129"/>
      <c r="AG11" s="6"/>
    </row>
    <row r="12" spans="1:38" s="4" customFormat="1" ht="19.95" customHeight="1" x14ac:dyDescent="0.25">
      <c r="A12" s="164"/>
      <c r="B12" s="165"/>
      <c r="C12" s="166"/>
      <c r="D12" s="168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6"/>
      <c r="R12" s="171"/>
      <c r="S12" s="172"/>
      <c r="T12" s="172"/>
      <c r="U12" s="172"/>
      <c r="V12" s="172"/>
      <c r="W12" s="172"/>
      <c r="X12" s="172"/>
      <c r="Y12" s="172"/>
      <c r="Z12" s="173"/>
      <c r="AA12" s="124"/>
      <c r="AB12" s="125"/>
      <c r="AC12" s="125"/>
      <c r="AD12" s="125"/>
      <c r="AE12" s="125"/>
      <c r="AF12" s="126"/>
      <c r="AG12" s="3"/>
    </row>
    <row r="13" spans="1:38" s="4" customFormat="1" ht="12" customHeight="1" x14ac:dyDescent="0.25">
      <c r="A13" s="184" t="s">
        <v>3</v>
      </c>
      <c r="B13" s="185"/>
      <c r="C13" s="186"/>
      <c r="D13" s="174"/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  <c r="AA13" s="175"/>
      <c r="AB13" s="175"/>
      <c r="AC13" s="175"/>
      <c r="AD13" s="175"/>
      <c r="AE13" s="175"/>
      <c r="AF13" s="176"/>
      <c r="AG13" s="3"/>
    </row>
    <row r="14" spans="1:38" s="4" customFormat="1" ht="12" customHeight="1" thickBot="1" x14ac:dyDescent="0.3">
      <c r="A14" s="154"/>
      <c r="B14" s="155"/>
      <c r="C14" s="156"/>
      <c r="D14" s="117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9"/>
      <c r="AG14" s="7"/>
    </row>
    <row r="15" spans="1:38" s="9" customFormat="1" ht="28.2" customHeight="1" x14ac:dyDescent="0.25">
      <c r="A15" s="177" t="s">
        <v>11</v>
      </c>
      <c r="B15" s="178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9"/>
      <c r="Q15" s="180" t="s">
        <v>9</v>
      </c>
      <c r="R15" s="181"/>
      <c r="S15" s="181"/>
      <c r="T15" s="181"/>
      <c r="U15" s="182"/>
      <c r="V15" s="180" t="s">
        <v>24</v>
      </c>
      <c r="W15" s="178"/>
      <c r="X15" s="178"/>
      <c r="Y15" s="178"/>
      <c r="Z15" s="179"/>
      <c r="AA15" s="180" t="s">
        <v>12</v>
      </c>
      <c r="AB15" s="178"/>
      <c r="AC15" s="178"/>
      <c r="AD15" s="178"/>
      <c r="AE15" s="178"/>
      <c r="AF15" s="183"/>
      <c r="AG15" s="8"/>
      <c r="AI15" s="49" t="s">
        <v>74</v>
      </c>
      <c r="AJ15" s="49" t="s">
        <v>59</v>
      </c>
      <c r="AK15" s="49" t="s">
        <v>68</v>
      </c>
      <c r="AL15" s="49" t="s">
        <v>72</v>
      </c>
    </row>
    <row r="16" spans="1:38" s="4" customFormat="1" ht="13.8" customHeight="1" x14ac:dyDescent="0.25">
      <c r="A16" s="190"/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91"/>
      <c r="Q16" s="98"/>
      <c r="R16" s="99"/>
      <c r="S16" s="99"/>
      <c r="T16" s="99"/>
      <c r="U16" s="100"/>
      <c r="V16" s="90"/>
      <c r="W16" s="91"/>
      <c r="X16" s="91"/>
      <c r="Y16" s="91"/>
      <c r="Z16" s="92"/>
      <c r="AA16" s="187"/>
      <c r="AB16" s="188"/>
      <c r="AC16" s="188"/>
      <c r="AD16" s="188"/>
      <c r="AE16" s="188"/>
      <c r="AF16" s="189"/>
      <c r="AG16" s="3"/>
      <c r="AI16" s="51" t="s">
        <v>65</v>
      </c>
      <c r="AJ16" s="52" t="s">
        <v>60</v>
      </c>
      <c r="AK16" s="51" t="s">
        <v>69</v>
      </c>
      <c r="AL16" s="51" t="s">
        <v>64</v>
      </c>
    </row>
    <row r="17" spans="1:38" s="4" customFormat="1" ht="13.8" x14ac:dyDescent="0.25">
      <c r="A17" s="85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89"/>
      <c r="Q17" s="101"/>
      <c r="R17" s="102"/>
      <c r="S17" s="102"/>
      <c r="T17" s="102"/>
      <c r="U17" s="103"/>
      <c r="V17" s="93"/>
      <c r="W17" s="87"/>
      <c r="X17" s="87"/>
      <c r="Y17" s="87"/>
      <c r="Z17" s="94"/>
      <c r="AA17" s="61"/>
      <c r="AB17" s="62"/>
      <c r="AC17" s="62"/>
      <c r="AD17" s="62"/>
      <c r="AE17" s="62"/>
      <c r="AF17" s="63"/>
      <c r="AG17" s="3"/>
      <c r="AI17" s="51" t="s">
        <v>66</v>
      </c>
      <c r="AJ17" s="51" t="s">
        <v>61</v>
      </c>
      <c r="AK17" s="51" t="s">
        <v>70</v>
      </c>
      <c r="AL17" s="51" t="s">
        <v>63</v>
      </c>
    </row>
    <row r="18" spans="1:38" s="4" customFormat="1" ht="13.8" x14ac:dyDescent="0.25">
      <c r="A18" s="85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89"/>
      <c r="Q18" s="101"/>
      <c r="R18" s="102"/>
      <c r="S18" s="102"/>
      <c r="T18" s="102"/>
      <c r="U18" s="103"/>
      <c r="V18" s="93"/>
      <c r="W18" s="87"/>
      <c r="X18" s="87"/>
      <c r="Y18" s="87"/>
      <c r="Z18" s="94"/>
      <c r="AA18" s="61"/>
      <c r="AB18" s="62"/>
      <c r="AC18" s="62"/>
      <c r="AD18" s="62"/>
      <c r="AE18" s="62"/>
      <c r="AF18" s="63"/>
      <c r="AG18" s="3"/>
      <c r="AI18" s="51" t="s">
        <v>67</v>
      </c>
      <c r="AJ18" s="51"/>
      <c r="AK18" s="51" t="s">
        <v>71</v>
      </c>
      <c r="AL18" s="51" t="s">
        <v>62</v>
      </c>
    </row>
    <row r="19" spans="1:38" s="4" customFormat="1" ht="13.8" x14ac:dyDescent="0.25">
      <c r="A19" s="85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89"/>
      <c r="Q19" s="101"/>
      <c r="R19" s="102"/>
      <c r="S19" s="102"/>
      <c r="T19" s="102"/>
      <c r="U19" s="103"/>
      <c r="V19" s="93"/>
      <c r="W19" s="87"/>
      <c r="X19" s="87"/>
      <c r="Y19" s="87"/>
      <c r="Z19" s="94"/>
      <c r="AA19" s="61"/>
      <c r="AB19" s="62"/>
      <c r="AC19" s="62"/>
      <c r="AD19" s="62"/>
      <c r="AE19" s="62"/>
      <c r="AF19" s="63"/>
      <c r="AG19" s="3"/>
      <c r="AI19" s="51"/>
      <c r="AJ19" s="51"/>
      <c r="AK19" s="51"/>
      <c r="AL19" s="51"/>
    </row>
    <row r="20" spans="1:38" s="4" customFormat="1" ht="13.8" x14ac:dyDescent="0.25">
      <c r="A20" s="85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89"/>
      <c r="Q20" s="101"/>
      <c r="R20" s="102"/>
      <c r="S20" s="102"/>
      <c r="T20" s="102"/>
      <c r="U20" s="103"/>
      <c r="V20" s="93"/>
      <c r="W20" s="87"/>
      <c r="X20" s="87"/>
      <c r="Y20" s="87"/>
      <c r="Z20" s="94"/>
      <c r="AA20" s="61"/>
      <c r="AB20" s="62"/>
      <c r="AC20" s="62"/>
      <c r="AD20" s="62"/>
      <c r="AE20" s="62"/>
      <c r="AF20" s="63"/>
      <c r="AG20" s="3"/>
      <c r="AI20" s="50"/>
      <c r="AJ20" s="50"/>
      <c r="AK20" s="50"/>
      <c r="AL20" s="51" t="s">
        <v>73</v>
      </c>
    </row>
    <row r="21" spans="1:38" s="4" customFormat="1" ht="13.8" customHeight="1" x14ac:dyDescent="0.25">
      <c r="A21" s="85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89"/>
      <c r="Q21" s="110"/>
      <c r="R21" s="111"/>
      <c r="S21" s="111"/>
      <c r="T21" s="111"/>
      <c r="U21" s="112"/>
      <c r="V21" s="93"/>
      <c r="W21" s="87"/>
      <c r="X21" s="87"/>
      <c r="Y21" s="87"/>
      <c r="Z21" s="94"/>
      <c r="AA21" s="61"/>
      <c r="AB21" s="62"/>
      <c r="AC21" s="62"/>
      <c r="AD21" s="62"/>
      <c r="AE21" s="62"/>
      <c r="AF21" s="63"/>
      <c r="AG21" s="3"/>
    </row>
    <row r="22" spans="1:38" s="4" customFormat="1" ht="13.8" x14ac:dyDescent="0.25">
      <c r="A22" s="85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89"/>
      <c r="Q22" s="110"/>
      <c r="R22" s="111"/>
      <c r="S22" s="111"/>
      <c r="T22" s="111"/>
      <c r="U22" s="112"/>
      <c r="V22" s="93"/>
      <c r="W22" s="87"/>
      <c r="X22" s="87"/>
      <c r="Y22" s="87"/>
      <c r="Z22" s="94"/>
      <c r="AA22" s="61"/>
      <c r="AB22" s="62"/>
      <c r="AC22" s="62"/>
      <c r="AD22" s="62"/>
      <c r="AE22" s="62"/>
      <c r="AF22" s="63"/>
      <c r="AG22" s="3"/>
    </row>
    <row r="23" spans="1:38" s="4" customFormat="1" ht="13.8" x14ac:dyDescent="0.25">
      <c r="A23" s="85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89"/>
      <c r="Q23" s="110"/>
      <c r="R23" s="111"/>
      <c r="S23" s="111"/>
      <c r="T23" s="111"/>
      <c r="U23" s="112"/>
      <c r="V23" s="93"/>
      <c r="W23" s="87"/>
      <c r="X23" s="87"/>
      <c r="Y23" s="87"/>
      <c r="Z23" s="94"/>
      <c r="AA23" s="70"/>
      <c r="AB23" s="71"/>
      <c r="AC23" s="71"/>
      <c r="AD23" s="71"/>
      <c r="AE23" s="71"/>
      <c r="AF23" s="72"/>
      <c r="AG23" s="3"/>
    </row>
    <row r="24" spans="1:38" s="4" customFormat="1" ht="16.5" customHeight="1" thickBot="1" x14ac:dyDescent="0.3">
      <c r="A24" s="107" t="s">
        <v>19</v>
      </c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9"/>
      <c r="Q24" s="265"/>
      <c r="R24" s="266"/>
      <c r="S24" s="266"/>
      <c r="T24" s="266"/>
      <c r="U24" s="267"/>
      <c r="V24" s="95"/>
      <c r="W24" s="96"/>
      <c r="X24" s="96"/>
      <c r="Y24" s="96"/>
      <c r="Z24" s="97"/>
      <c r="AA24" s="67"/>
      <c r="AB24" s="68"/>
      <c r="AC24" s="68"/>
      <c r="AD24" s="68"/>
      <c r="AE24" s="68"/>
      <c r="AF24" s="69"/>
      <c r="AG24" s="3"/>
      <c r="AH24" s="11"/>
    </row>
    <row r="25" spans="1:38" s="4" customFormat="1" ht="13.95" customHeight="1" x14ac:dyDescent="0.25">
      <c r="A25" s="43" t="s">
        <v>4</v>
      </c>
      <c r="B25" s="73" t="s">
        <v>41</v>
      </c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4"/>
      <c r="AB25" s="74"/>
      <c r="AC25" s="74"/>
      <c r="AD25" s="74"/>
      <c r="AE25" s="74"/>
      <c r="AF25" s="75"/>
      <c r="AG25" s="3"/>
      <c r="AH25" s="11"/>
    </row>
    <row r="26" spans="1:38" s="4" customFormat="1" ht="13.95" customHeight="1" x14ac:dyDescent="0.25">
      <c r="A26" s="85" t="s">
        <v>48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3"/>
      <c r="AG26" s="3"/>
      <c r="AH26" s="11"/>
    </row>
    <row r="27" spans="1:38" s="4" customFormat="1" ht="15.75" customHeight="1" x14ac:dyDescent="0.25">
      <c r="A27" s="85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3"/>
      <c r="AG27" s="3"/>
      <c r="AH27" s="11"/>
    </row>
    <row r="28" spans="1:38" s="4" customFormat="1" ht="13.8" x14ac:dyDescent="0.25">
      <c r="A28" s="86" t="s">
        <v>42</v>
      </c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8"/>
      <c r="AG28" s="3"/>
      <c r="AH28" s="11"/>
    </row>
    <row r="29" spans="1:38" s="4" customFormat="1" ht="14.4" thickBot="1" x14ac:dyDescent="0.3">
      <c r="A29" s="105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106"/>
      <c r="AG29" s="3"/>
      <c r="AH29" s="11"/>
    </row>
    <row r="30" spans="1:38" s="4" customFormat="1" ht="15.75" customHeight="1" x14ac:dyDescent="0.25">
      <c r="A30" s="42" t="s">
        <v>16</v>
      </c>
      <c r="B30" s="35" t="s">
        <v>27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1"/>
      <c r="AG30" s="3"/>
      <c r="AH30" s="11"/>
    </row>
    <row r="31" spans="1:38" s="4" customFormat="1" ht="15.75" customHeight="1" x14ac:dyDescent="0.25">
      <c r="A31" s="217" t="s">
        <v>20</v>
      </c>
      <c r="B31" s="218"/>
      <c r="C31" s="218"/>
      <c r="D31" s="218"/>
      <c r="E31" s="218"/>
      <c r="F31" s="218"/>
      <c r="G31" s="218"/>
      <c r="H31" s="218"/>
      <c r="I31" s="218"/>
      <c r="J31" s="218"/>
      <c r="K31" s="218"/>
      <c r="L31" s="218"/>
      <c r="M31" s="218"/>
      <c r="N31" s="218"/>
      <c r="O31" s="218"/>
      <c r="P31" s="218"/>
      <c r="Q31" s="218"/>
      <c r="R31" s="218" t="s">
        <v>45</v>
      </c>
      <c r="S31" s="218"/>
      <c r="T31" s="218"/>
      <c r="U31" s="218"/>
      <c r="V31" s="218"/>
      <c r="W31" s="104" t="s">
        <v>21</v>
      </c>
      <c r="X31" s="104"/>
      <c r="Y31" s="104"/>
      <c r="Z31" s="104"/>
      <c r="AA31" s="104"/>
      <c r="AB31" s="194" t="s">
        <v>22</v>
      </c>
      <c r="AC31" s="194"/>
      <c r="AD31" s="194"/>
      <c r="AE31" s="194"/>
      <c r="AF31" s="195"/>
      <c r="AG31" s="3"/>
      <c r="AH31" s="11"/>
    </row>
    <row r="32" spans="1:38" s="4" customFormat="1" ht="13.05" customHeight="1" x14ac:dyDescent="0.25">
      <c r="A32" s="211"/>
      <c r="B32" s="212"/>
      <c r="C32" s="212"/>
      <c r="D32" s="212"/>
      <c r="E32" s="212"/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3"/>
      <c r="R32" s="79" t="str">
        <f>IFERROR(INDEX(RCA!A:A,MATCH(DV!A32,RCA!F:F,0)),"")</f>
        <v/>
      </c>
      <c r="S32" s="80"/>
      <c r="T32" s="80"/>
      <c r="U32" s="80"/>
      <c r="V32" s="81"/>
      <c r="W32" s="187"/>
      <c r="X32" s="188"/>
      <c r="Y32" s="188"/>
      <c r="Z32" s="188"/>
      <c r="AA32" s="191"/>
      <c r="AB32" s="187"/>
      <c r="AC32" s="188"/>
      <c r="AD32" s="188"/>
      <c r="AE32" s="188"/>
      <c r="AF32" s="189"/>
      <c r="AG32" s="3"/>
      <c r="AH32" s="11"/>
    </row>
    <row r="33" spans="1:34" s="4" customFormat="1" ht="13.05" customHeight="1" x14ac:dyDescent="0.25">
      <c r="A33" s="76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8"/>
      <c r="R33" s="82" t="str">
        <f>IFERROR(INDEX(RCA!A:A,MATCH(DV!A33,RCA!F:F,0)),"")</f>
        <v/>
      </c>
      <c r="S33" s="83"/>
      <c r="T33" s="83"/>
      <c r="U33" s="83"/>
      <c r="V33" s="84"/>
      <c r="W33" s="61"/>
      <c r="X33" s="62"/>
      <c r="Y33" s="62"/>
      <c r="Z33" s="62"/>
      <c r="AA33" s="89"/>
      <c r="AB33" s="61"/>
      <c r="AC33" s="62"/>
      <c r="AD33" s="62"/>
      <c r="AE33" s="62"/>
      <c r="AF33" s="63"/>
      <c r="AG33" s="3"/>
      <c r="AH33" s="5"/>
    </row>
    <row r="34" spans="1:34" s="4" customFormat="1" ht="13.05" customHeight="1" x14ac:dyDescent="0.25">
      <c r="A34" s="76" t="s">
        <v>914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8"/>
      <c r="R34" s="82">
        <f>IFERROR(INDEX(RCA!A:A,MATCH(DV!A34,RCA!F:F,0)),"")</f>
        <v>5020101000</v>
      </c>
      <c r="S34" s="83"/>
      <c r="T34" s="83"/>
      <c r="U34" s="83"/>
      <c r="V34" s="84"/>
      <c r="W34" s="268">
        <f>AA24</f>
        <v>0</v>
      </c>
      <c r="X34" s="62"/>
      <c r="Y34" s="62"/>
      <c r="Z34" s="62"/>
      <c r="AA34" s="89"/>
      <c r="AB34" s="61"/>
      <c r="AC34" s="62"/>
      <c r="AD34" s="62"/>
      <c r="AE34" s="62"/>
      <c r="AF34" s="63"/>
      <c r="AG34" s="3"/>
      <c r="AH34" s="5"/>
    </row>
    <row r="35" spans="1:34" s="4" customFormat="1" ht="13.05" customHeight="1" x14ac:dyDescent="0.2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8"/>
      <c r="R35" s="82" t="str">
        <f>IFERROR(INDEX(RCA!A:A,MATCH(DV!A35,RCA!F:F,0)),"")</f>
        <v/>
      </c>
      <c r="S35" s="83"/>
      <c r="T35" s="83"/>
      <c r="U35" s="83"/>
      <c r="V35" s="84"/>
      <c r="W35" s="61"/>
      <c r="X35" s="62"/>
      <c r="Y35" s="62"/>
      <c r="Z35" s="62"/>
      <c r="AA35" s="89"/>
      <c r="AB35" s="61"/>
      <c r="AC35" s="62"/>
      <c r="AD35" s="62"/>
      <c r="AE35" s="62"/>
      <c r="AF35" s="63"/>
      <c r="AG35" s="3"/>
      <c r="AH35" s="5"/>
    </row>
    <row r="36" spans="1:34" s="4" customFormat="1" ht="13.05" customHeight="1" x14ac:dyDescent="0.25">
      <c r="A36" s="196" t="str">
        <f>IF($AA$4="Regular Agency Fund",RCA!$F$70,RCA!$F$45)</f>
        <v>Cash-Modified Disbursement System (MDS), Regular</v>
      </c>
      <c r="B36" s="197"/>
      <c r="C36" s="197"/>
      <c r="D36" s="197"/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8"/>
      <c r="R36" s="82">
        <f>IFERROR(INDEX(RCA!A:A,MATCH(DV!A36,RCA!F:F,0)),"")</f>
        <v>1010404000</v>
      </c>
      <c r="S36" s="83"/>
      <c r="T36" s="83"/>
      <c r="U36" s="83"/>
      <c r="V36" s="84"/>
      <c r="W36" s="61"/>
      <c r="X36" s="62"/>
      <c r="Y36" s="62"/>
      <c r="Z36" s="62"/>
      <c r="AA36" s="89"/>
      <c r="AB36" s="64">
        <f>AA24</f>
        <v>0</v>
      </c>
      <c r="AC36" s="65"/>
      <c r="AD36" s="65"/>
      <c r="AE36" s="65"/>
      <c r="AF36" s="66"/>
      <c r="AG36" s="3"/>
    </row>
    <row r="37" spans="1:34" s="4" customFormat="1" ht="13.05" customHeight="1" x14ac:dyDescent="0.25">
      <c r="A37" s="76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8"/>
      <c r="R37" s="82" t="str">
        <f>IFERROR(INDEX(RCA!A:A,MATCH(DV!A37,RCA!F:F,0)),"")</f>
        <v/>
      </c>
      <c r="S37" s="83"/>
      <c r="T37" s="83"/>
      <c r="U37" s="83"/>
      <c r="V37" s="84"/>
      <c r="W37" s="61"/>
      <c r="X37" s="62"/>
      <c r="Y37" s="62"/>
      <c r="Z37" s="62"/>
      <c r="AA37" s="89"/>
      <c r="AB37" s="64"/>
      <c r="AC37" s="65"/>
      <c r="AD37" s="65"/>
      <c r="AE37" s="65"/>
      <c r="AF37" s="66"/>
      <c r="AG37" s="3"/>
    </row>
    <row r="38" spans="1:34" s="4" customFormat="1" ht="13.05" customHeight="1" thickBot="1" x14ac:dyDescent="0.3">
      <c r="A38" s="199"/>
      <c r="B38" s="200"/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1"/>
      <c r="R38" s="214" t="str">
        <f>IFERROR(INDEX(RCA!A:A,MATCH(DV!A38,RCA!F:F,0)),"")</f>
        <v/>
      </c>
      <c r="S38" s="215"/>
      <c r="T38" s="215"/>
      <c r="U38" s="215"/>
      <c r="V38" s="216"/>
      <c r="W38" s="61"/>
      <c r="X38" s="62"/>
      <c r="Y38" s="62"/>
      <c r="Z38" s="62"/>
      <c r="AA38" s="89"/>
      <c r="AB38" s="64"/>
      <c r="AC38" s="65"/>
      <c r="AD38" s="65"/>
      <c r="AE38" s="65"/>
      <c r="AF38" s="66"/>
      <c r="AG38" s="3"/>
    </row>
    <row r="39" spans="1:34" s="4" customFormat="1" ht="15.75" customHeight="1" x14ac:dyDescent="0.25">
      <c r="A39" s="42" t="s">
        <v>23</v>
      </c>
      <c r="B39" s="20" t="s">
        <v>26</v>
      </c>
      <c r="C39" s="20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53"/>
      <c r="R39" s="42" t="s">
        <v>75</v>
      </c>
      <c r="S39" s="192" t="s">
        <v>15</v>
      </c>
      <c r="T39" s="192"/>
      <c r="U39" s="192"/>
      <c r="V39" s="192"/>
      <c r="W39" s="192"/>
      <c r="X39" s="192"/>
      <c r="Y39" s="192"/>
      <c r="Z39" s="192"/>
      <c r="AA39" s="192"/>
      <c r="AB39" s="192"/>
      <c r="AC39" s="192"/>
      <c r="AD39" s="35"/>
      <c r="AE39" s="35"/>
      <c r="AF39" s="53"/>
      <c r="AG39" s="3"/>
    </row>
    <row r="40" spans="1:34" s="4" customFormat="1" ht="4.95" customHeight="1" x14ac:dyDescent="0.25">
      <c r="A40" s="46"/>
      <c r="B40" s="47"/>
      <c r="C40" s="48"/>
      <c r="D40" s="2"/>
      <c r="E40" s="2"/>
      <c r="F40" s="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6"/>
      <c r="R40" s="202"/>
      <c r="S40" s="203"/>
      <c r="T40" s="203"/>
      <c r="U40" s="203"/>
      <c r="V40" s="203"/>
      <c r="W40" s="203"/>
      <c r="X40" s="203"/>
      <c r="Y40" s="203"/>
      <c r="Z40" s="203"/>
      <c r="AA40" s="203"/>
      <c r="AB40" s="203"/>
      <c r="AC40" s="203"/>
      <c r="AD40" s="203"/>
      <c r="AE40" s="203"/>
      <c r="AF40" s="204"/>
      <c r="AG40" s="3"/>
    </row>
    <row r="41" spans="1:34" s="4" customFormat="1" ht="12" customHeight="1" x14ac:dyDescent="0.25">
      <c r="A41" s="19"/>
      <c r="B41" s="41"/>
      <c r="C41" s="2" t="s">
        <v>17</v>
      </c>
      <c r="D41" s="2"/>
      <c r="E41" s="2"/>
      <c r="F41" s="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6"/>
      <c r="R41" s="205"/>
      <c r="S41" s="206"/>
      <c r="T41" s="206"/>
      <c r="U41" s="206"/>
      <c r="V41" s="206"/>
      <c r="W41" s="206"/>
      <c r="X41" s="206"/>
      <c r="Y41" s="206"/>
      <c r="Z41" s="206"/>
      <c r="AA41" s="206"/>
      <c r="AB41" s="206"/>
      <c r="AC41" s="206"/>
      <c r="AD41" s="206"/>
      <c r="AE41" s="206"/>
      <c r="AF41" s="207"/>
      <c r="AG41" s="3"/>
    </row>
    <row r="42" spans="1:34" s="4" customFormat="1" ht="4.95" customHeight="1" x14ac:dyDescent="0.25">
      <c r="A42" s="193"/>
      <c r="B42" s="125"/>
      <c r="C42" s="125"/>
      <c r="D42" s="125"/>
      <c r="E42" s="125"/>
      <c r="F42" s="125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6"/>
      <c r="R42" s="205"/>
      <c r="S42" s="206"/>
      <c r="T42" s="206"/>
      <c r="U42" s="206"/>
      <c r="V42" s="206"/>
      <c r="W42" s="206"/>
      <c r="X42" s="206"/>
      <c r="Y42" s="206"/>
      <c r="Z42" s="206"/>
      <c r="AA42" s="206"/>
      <c r="AB42" s="206"/>
      <c r="AC42" s="206"/>
      <c r="AD42" s="206"/>
      <c r="AE42" s="206"/>
      <c r="AF42" s="207"/>
      <c r="AG42" s="3"/>
    </row>
    <row r="43" spans="1:34" s="4" customFormat="1" ht="12" customHeight="1" x14ac:dyDescent="0.25">
      <c r="A43" s="19"/>
      <c r="B43" s="14"/>
      <c r="C43" s="2" t="s">
        <v>18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37"/>
      <c r="R43" s="205"/>
      <c r="S43" s="206"/>
      <c r="T43" s="206"/>
      <c r="U43" s="206"/>
      <c r="V43" s="206"/>
      <c r="W43" s="206"/>
      <c r="X43" s="206"/>
      <c r="Y43" s="206"/>
      <c r="Z43" s="206"/>
      <c r="AA43" s="206"/>
      <c r="AB43" s="206"/>
      <c r="AC43" s="206"/>
      <c r="AD43" s="206"/>
      <c r="AE43" s="206"/>
      <c r="AF43" s="207"/>
      <c r="AG43" s="3"/>
    </row>
    <row r="44" spans="1:34" s="4" customFormat="1" ht="4.95" customHeight="1" x14ac:dyDescent="0.25">
      <c r="A44" s="193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6"/>
      <c r="R44" s="205"/>
      <c r="S44" s="206"/>
      <c r="T44" s="206"/>
      <c r="U44" s="206"/>
      <c r="V44" s="206"/>
      <c r="W44" s="206"/>
      <c r="X44" s="206"/>
      <c r="Y44" s="206"/>
      <c r="Z44" s="206"/>
      <c r="AA44" s="206"/>
      <c r="AB44" s="206"/>
      <c r="AC44" s="206"/>
      <c r="AD44" s="206"/>
      <c r="AE44" s="206"/>
      <c r="AF44" s="207"/>
      <c r="AG44" s="3"/>
    </row>
    <row r="45" spans="1:34" s="4" customFormat="1" ht="12" customHeight="1" x14ac:dyDescent="0.25">
      <c r="A45" s="19"/>
      <c r="B45" s="14"/>
      <c r="C45" s="25" t="s">
        <v>57</v>
      </c>
      <c r="D45" s="25"/>
      <c r="E45" s="25"/>
      <c r="F45" s="25"/>
      <c r="G45" s="25"/>
      <c r="H45" s="25"/>
      <c r="I45" s="25"/>
      <c r="J45" s="25"/>
      <c r="K45" s="26"/>
      <c r="L45" s="26"/>
      <c r="M45" s="26"/>
      <c r="N45" s="26"/>
      <c r="O45" s="26"/>
      <c r="P45" s="26"/>
      <c r="Q45" s="38"/>
      <c r="R45" s="205"/>
      <c r="S45" s="206"/>
      <c r="T45" s="206"/>
      <c r="U45" s="206"/>
      <c r="V45" s="206"/>
      <c r="W45" s="206"/>
      <c r="X45" s="206"/>
      <c r="Y45" s="206"/>
      <c r="Z45" s="206"/>
      <c r="AA45" s="206"/>
      <c r="AB45" s="206"/>
      <c r="AC45" s="206"/>
      <c r="AD45" s="206"/>
      <c r="AE45" s="206"/>
      <c r="AF45" s="207"/>
      <c r="AG45" s="3"/>
    </row>
    <row r="46" spans="1:34" s="4" customFormat="1" ht="4.95" customHeight="1" x14ac:dyDescent="0.25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18"/>
      <c r="L46" s="18"/>
      <c r="M46" s="18"/>
      <c r="N46" s="18"/>
      <c r="O46" s="18"/>
      <c r="P46" s="18"/>
      <c r="Q46" s="40"/>
      <c r="R46" s="208"/>
      <c r="S46" s="209"/>
      <c r="T46" s="209"/>
      <c r="U46" s="209"/>
      <c r="V46" s="209"/>
      <c r="W46" s="209"/>
      <c r="X46" s="209"/>
      <c r="Y46" s="209"/>
      <c r="Z46" s="209"/>
      <c r="AA46" s="209"/>
      <c r="AB46" s="209"/>
      <c r="AC46" s="209"/>
      <c r="AD46" s="209"/>
      <c r="AE46" s="209"/>
      <c r="AF46" s="210"/>
      <c r="AG46" s="3"/>
    </row>
    <row r="47" spans="1:34" s="4" customFormat="1" ht="15" customHeight="1" x14ac:dyDescent="0.25">
      <c r="A47" s="228" t="s">
        <v>6</v>
      </c>
      <c r="B47" s="229"/>
      <c r="C47" s="229"/>
      <c r="D47" s="232"/>
      <c r="E47" s="233"/>
      <c r="F47" s="233"/>
      <c r="G47" s="233"/>
      <c r="H47" s="233"/>
      <c r="I47" s="233"/>
      <c r="J47" s="233"/>
      <c r="K47" s="233"/>
      <c r="L47" s="233"/>
      <c r="M47" s="233"/>
      <c r="N47" s="233"/>
      <c r="O47" s="233"/>
      <c r="P47" s="233"/>
      <c r="Q47" s="234"/>
      <c r="R47" s="228" t="s">
        <v>6</v>
      </c>
      <c r="S47" s="102"/>
      <c r="T47" s="102"/>
      <c r="U47" s="103"/>
      <c r="V47" s="98"/>
      <c r="W47" s="99"/>
      <c r="X47" s="99"/>
      <c r="Y47" s="99"/>
      <c r="Z47" s="99"/>
      <c r="AA47" s="99"/>
      <c r="AB47" s="99"/>
      <c r="AC47" s="99"/>
      <c r="AD47" s="99"/>
      <c r="AE47" s="99"/>
      <c r="AF47" s="219"/>
      <c r="AG47" s="3"/>
    </row>
    <row r="48" spans="1:34" s="4" customFormat="1" ht="13.8" x14ac:dyDescent="0.25">
      <c r="A48" s="230"/>
      <c r="B48" s="231"/>
      <c r="C48" s="231"/>
      <c r="D48" s="124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6"/>
      <c r="R48" s="235"/>
      <c r="S48" s="236"/>
      <c r="T48" s="236"/>
      <c r="U48" s="237"/>
      <c r="V48" s="101"/>
      <c r="W48" s="102"/>
      <c r="X48" s="102"/>
      <c r="Y48" s="102"/>
      <c r="Z48" s="102"/>
      <c r="AA48" s="102"/>
      <c r="AB48" s="102"/>
      <c r="AC48" s="102"/>
      <c r="AD48" s="102"/>
      <c r="AE48" s="102"/>
      <c r="AF48" s="226"/>
      <c r="AG48" s="3"/>
    </row>
    <row r="49" spans="1:37" s="4" customFormat="1" ht="19.95" customHeight="1" x14ac:dyDescent="0.25">
      <c r="A49" s="227" t="s">
        <v>7</v>
      </c>
      <c r="B49" s="241"/>
      <c r="C49" s="241"/>
      <c r="D49" s="238" t="s">
        <v>53</v>
      </c>
      <c r="E49" s="239"/>
      <c r="F49" s="239"/>
      <c r="G49" s="239"/>
      <c r="H49" s="239"/>
      <c r="I49" s="239"/>
      <c r="J49" s="239"/>
      <c r="K49" s="239"/>
      <c r="L49" s="239"/>
      <c r="M49" s="239"/>
      <c r="N49" s="239"/>
      <c r="O49" s="239"/>
      <c r="P49" s="239"/>
      <c r="Q49" s="240"/>
      <c r="R49" s="227" t="s">
        <v>7</v>
      </c>
      <c r="S49" s="99"/>
      <c r="T49" s="99"/>
      <c r="U49" s="100"/>
      <c r="V49" s="223" t="s">
        <v>49</v>
      </c>
      <c r="W49" s="224"/>
      <c r="X49" s="224"/>
      <c r="Y49" s="224"/>
      <c r="Z49" s="224"/>
      <c r="AA49" s="224"/>
      <c r="AB49" s="224"/>
      <c r="AC49" s="224"/>
      <c r="AD49" s="224"/>
      <c r="AE49" s="224"/>
      <c r="AF49" s="225"/>
      <c r="AG49" s="3"/>
    </row>
    <row r="50" spans="1:37" s="4" customFormat="1" ht="19.95" customHeight="1" x14ac:dyDescent="0.25">
      <c r="A50" s="227" t="s">
        <v>8</v>
      </c>
      <c r="B50" s="99"/>
      <c r="C50" s="99"/>
      <c r="D50" s="70" t="s">
        <v>54</v>
      </c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2"/>
      <c r="R50" s="227" t="s">
        <v>8</v>
      </c>
      <c r="S50" s="99"/>
      <c r="T50" s="99"/>
      <c r="U50" s="100"/>
      <c r="V50" s="220" t="str">
        <f>IF(V49=AI50,AJ50,IF(V49=AI51,AJ51,IF(V49=AI52,AJ52,IF(V49=AI53,AJ53,""))))</f>
        <v>OIC-Executive Director</v>
      </c>
      <c r="W50" s="221"/>
      <c r="X50" s="221"/>
      <c r="Y50" s="221"/>
      <c r="Z50" s="221"/>
      <c r="AA50" s="221"/>
      <c r="AB50" s="221"/>
      <c r="AC50" s="221"/>
      <c r="AD50" s="221"/>
      <c r="AE50" s="221"/>
      <c r="AF50" s="222"/>
      <c r="AG50" s="12"/>
      <c r="AH50" s="5"/>
      <c r="AI50" s="5" t="s">
        <v>49</v>
      </c>
      <c r="AJ50" s="5" t="s">
        <v>50</v>
      </c>
    </row>
    <row r="51" spans="1:37" s="4" customFormat="1" ht="19.95" customHeight="1" thickBot="1" x14ac:dyDescent="0.3">
      <c r="A51" s="227" t="s">
        <v>5</v>
      </c>
      <c r="B51" s="99"/>
      <c r="C51" s="99"/>
      <c r="D51" s="124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6"/>
      <c r="R51" s="227" t="s">
        <v>5</v>
      </c>
      <c r="S51" s="99"/>
      <c r="T51" s="99"/>
      <c r="U51" s="100"/>
      <c r="V51" s="98"/>
      <c r="W51" s="99"/>
      <c r="X51" s="99"/>
      <c r="Y51" s="99"/>
      <c r="Z51" s="99"/>
      <c r="AA51" s="99"/>
      <c r="AB51" s="99"/>
      <c r="AC51" s="99"/>
      <c r="AD51" s="99"/>
      <c r="AE51" s="99"/>
      <c r="AF51" s="219"/>
      <c r="AG51" s="3"/>
      <c r="AI51" s="4" t="s">
        <v>1215</v>
      </c>
      <c r="AJ51" s="4" t="s">
        <v>1216</v>
      </c>
    </row>
    <row r="52" spans="1:37" s="4" customFormat="1" ht="13.5" customHeight="1" x14ac:dyDescent="0.25">
      <c r="A52" s="39" t="s">
        <v>28</v>
      </c>
      <c r="B52" s="262" t="s">
        <v>29</v>
      </c>
      <c r="C52" s="263"/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  <c r="Z52" s="264"/>
      <c r="AA52" s="17" t="s">
        <v>10</v>
      </c>
      <c r="AB52" s="17"/>
      <c r="AC52" s="17"/>
      <c r="AD52" s="158"/>
      <c r="AE52" s="158"/>
      <c r="AF52" s="159"/>
      <c r="AG52" s="3"/>
      <c r="AI52" s="4" t="s">
        <v>51</v>
      </c>
      <c r="AJ52" s="4" t="s">
        <v>52</v>
      </c>
    </row>
    <row r="53" spans="1:37" s="4" customFormat="1" ht="14.4" customHeight="1" x14ac:dyDescent="0.25">
      <c r="A53" s="228" t="s">
        <v>34</v>
      </c>
      <c r="B53" s="102"/>
      <c r="C53" s="102"/>
      <c r="D53" s="124"/>
      <c r="E53" s="125"/>
      <c r="F53" s="125"/>
      <c r="G53" s="125"/>
      <c r="H53" s="125"/>
      <c r="I53" s="125"/>
      <c r="J53" s="125"/>
      <c r="K53" s="125"/>
      <c r="L53" s="245"/>
      <c r="M53" s="258" t="s">
        <v>31</v>
      </c>
      <c r="N53" s="259"/>
      <c r="O53" s="259"/>
      <c r="P53" s="259"/>
      <c r="Q53" s="260"/>
      <c r="R53" s="261" t="s">
        <v>33</v>
      </c>
      <c r="S53" s="259"/>
      <c r="T53" s="259"/>
      <c r="U53" s="259"/>
      <c r="V53" s="259"/>
      <c r="W53" s="259"/>
      <c r="X53" s="259"/>
      <c r="Y53" s="259"/>
      <c r="Z53" s="260"/>
      <c r="AA53" s="61"/>
      <c r="AB53" s="62"/>
      <c r="AC53" s="62"/>
      <c r="AD53" s="62"/>
      <c r="AE53" s="62"/>
      <c r="AF53" s="63"/>
      <c r="AG53" s="3"/>
      <c r="AI53" s="4" t="s">
        <v>1217</v>
      </c>
      <c r="AJ53" s="4" t="s">
        <v>1218</v>
      </c>
    </row>
    <row r="54" spans="1:37" s="4" customFormat="1" ht="14.4" customHeight="1" x14ac:dyDescent="0.25">
      <c r="A54" s="235"/>
      <c r="B54" s="236"/>
      <c r="C54" s="236"/>
      <c r="D54" s="246"/>
      <c r="E54" s="247"/>
      <c r="F54" s="247"/>
      <c r="G54" s="247"/>
      <c r="H54" s="247"/>
      <c r="I54" s="247"/>
      <c r="J54" s="247"/>
      <c r="K54" s="247"/>
      <c r="L54" s="248"/>
      <c r="M54" s="254"/>
      <c r="N54" s="255"/>
      <c r="O54" s="255"/>
      <c r="P54" s="255"/>
      <c r="Q54" s="256"/>
      <c r="R54" s="254"/>
      <c r="S54" s="255"/>
      <c r="T54" s="255"/>
      <c r="U54" s="255"/>
      <c r="V54" s="255"/>
      <c r="W54" s="255"/>
      <c r="X54" s="255"/>
      <c r="Y54" s="255"/>
      <c r="Z54" s="256"/>
      <c r="AA54" s="70"/>
      <c r="AB54" s="71"/>
      <c r="AC54" s="71"/>
      <c r="AD54" s="71"/>
      <c r="AE54" s="71"/>
      <c r="AF54" s="72"/>
      <c r="AG54" s="3"/>
    </row>
    <row r="55" spans="1:37" s="4" customFormat="1" ht="14.4" customHeight="1" x14ac:dyDescent="0.25">
      <c r="A55" s="227" t="s">
        <v>35</v>
      </c>
      <c r="B55" s="233"/>
      <c r="C55" s="233"/>
      <c r="D55" s="232"/>
      <c r="E55" s="233"/>
      <c r="F55" s="233"/>
      <c r="G55" s="233"/>
      <c r="H55" s="233"/>
      <c r="I55" s="233"/>
      <c r="J55" s="233"/>
      <c r="K55" s="233"/>
      <c r="L55" s="250"/>
      <c r="M55" s="251" t="s">
        <v>31</v>
      </c>
      <c r="N55" s="252"/>
      <c r="O55" s="252"/>
      <c r="P55" s="252"/>
      <c r="Q55" s="253"/>
      <c r="R55" s="251" t="s">
        <v>36</v>
      </c>
      <c r="S55" s="252"/>
      <c r="T55" s="252"/>
      <c r="U55" s="252"/>
      <c r="V55" s="252"/>
      <c r="W55" s="252"/>
      <c r="X55" s="252"/>
      <c r="Y55" s="252"/>
      <c r="Z55" s="253"/>
      <c r="AA55" s="24" t="s">
        <v>5</v>
      </c>
      <c r="AB55" s="24"/>
      <c r="AC55" s="233"/>
      <c r="AD55" s="233"/>
      <c r="AE55" s="233"/>
      <c r="AF55" s="234"/>
      <c r="AG55" s="3"/>
    </row>
    <row r="56" spans="1:37" s="4" customFormat="1" ht="14.4" customHeight="1" x14ac:dyDescent="0.25">
      <c r="A56" s="249"/>
      <c r="B56" s="247"/>
      <c r="C56" s="247"/>
      <c r="D56" s="246"/>
      <c r="E56" s="247"/>
      <c r="F56" s="247"/>
      <c r="G56" s="247"/>
      <c r="H56" s="247"/>
      <c r="I56" s="247"/>
      <c r="J56" s="247"/>
      <c r="K56" s="247"/>
      <c r="L56" s="248"/>
      <c r="M56" s="254"/>
      <c r="N56" s="255"/>
      <c r="O56" s="255"/>
      <c r="P56" s="255"/>
      <c r="Q56" s="256"/>
      <c r="R56" s="254"/>
      <c r="S56" s="255"/>
      <c r="T56" s="255"/>
      <c r="U56" s="255"/>
      <c r="V56" s="255"/>
      <c r="W56" s="255"/>
      <c r="X56" s="255"/>
      <c r="Y56" s="255"/>
      <c r="Z56" s="256"/>
      <c r="AA56" s="125"/>
      <c r="AB56" s="125"/>
      <c r="AC56" s="125"/>
      <c r="AD56" s="125"/>
      <c r="AE56" s="125"/>
      <c r="AF56" s="126"/>
      <c r="AG56" s="3"/>
    </row>
    <row r="57" spans="1:37" s="4" customFormat="1" ht="19.95" customHeight="1" thickBot="1" x14ac:dyDescent="0.3">
      <c r="A57" s="242" t="s">
        <v>37</v>
      </c>
      <c r="B57" s="243"/>
      <c r="C57" s="243"/>
      <c r="D57" s="243"/>
      <c r="E57" s="243"/>
      <c r="F57" s="243"/>
      <c r="G57" s="243"/>
      <c r="H57" s="243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Y57" s="243"/>
      <c r="Z57" s="244"/>
      <c r="AA57" s="160"/>
      <c r="AB57" s="160"/>
      <c r="AC57" s="160"/>
      <c r="AD57" s="160"/>
      <c r="AE57" s="160"/>
      <c r="AF57" s="257"/>
      <c r="AG57" s="13"/>
      <c r="AH57" s="10"/>
      <c r="AI57" s="10"/>
      <c r="AJ57" s="10"/>
      <c r="AK57" s="10"/>
    </row>
  </sheetData>
  <mergeCells count="119">
    <mergeCell ref="A57:Z57"/>
    <mergeCell ref="AD52:AF52"/>
    <mergeCell ref="A53:C54"/>
    <mergeCell ref="D53:L54"/>
    <mergeCell ref="A55:C56"/>
    <mergeCell ref="D55:L56"/>
    <mergeCell ref="M55:Q56"/>
    <mergeCell ref="R55:Z56"/>
    <mergeCell ref="AC55:AF55"/>
    <mergeCell ref="AA56:AF57"/>
    <mergeCell ref="M53:Q54"/>
    <mergeCell ref="R53:Z54"/>
    <mergeCell ref="AA53:AF54"/>
    <mergeCell ref="B52:Z52"/>
    <mergeCell ref="V51:AF51"/>
    <mergeCell ref="V50:AF50"/>
    <mergeCell ref="V49:AF49"/>
    <mergeCell ref="V47:AF48"/>
    <mergeCell ref="A51:C51"/>
    <mergeCell ref="D51:Q51"/>
    <mergeCell ref="R51:U51"/>
    <mergeCell ref="A47:C48"/>
    <mergeCell ref="D47:Q48"/>
    <mergeCell ref="R47:U48"/>
    <mergeCell ref="D50:Q50"/>
    <mergeCell ref="R50:U50"/>
    <mergeCell ref="D49:Q49"/>
    <mergeCell ref="A49:C49"/>
    <mergeCell ref="R49:U49"/>
    <mergeCell ref="A50:C50"/>
    <mergeCell ref="S39:AC39"/>
    <mergeCell ref="A42:F42"/>
    <mergeCell ref="AB31:AF31"/>
    <mergeCell ref="A33:Q33"/>
    <mergeCell ref="A35:Q35"/>
    <mergeCell ref="A36:Q36"/>
    <mergeCell ref="A38:Q38"/>
    <mergeCell ref="R40:AF46"/>
    <mergeCell ref="W34:AA34"/>
    <mergeCell ref="W35:AA35"/>
    <mergeCell ref="W36:AA36"/>
    <mergeCell ref="W38:AA38"/>
    <mergeCell ref="A32:Q32"/>
    <mergeCell ref="A44:Q44"/>
    <mergeCell ref="AB32:AF32"/>
    <mergeCell ref="AB33:AF33"/>
    <mergeCell ref="AB34:AF34"/>
    <mergeCell ref="R35:V35"/>
    <mergeCell ref="R36:V36"/>
    <mergeCell ref="R38:V38"/>
    <mergeCell ref="W32:AA32"/>
    <mergeCell ref="W33:AA33"/>
    <mergeCell ref="A31:Q31"/>
    <mergeCell ref="R31:V31"/>
    <mergeCell ref="A11:C12"/>
    <mergeCell ref="D11:Q12"/>
    <mergeCell ref="R11:Z11"/>
    <mergeCell ref="R12:Z12"/>
    <mergeCell ref="D13:AF13"/>
    <mergeCell ref="A15:P15"/>
    <mergeCell ref="Q15:U15"/>
    <mergeCell ref="V15:Z15"/>
    <mergeCell ref="AA15:AF15"/>
    <mergeCell ref="A13:C14"/>
    <mergeCell ref="AA1:AF1"/>
    <mergeCell ref="A3:Z3"/>
    <mergeCell ref="A4:Z4"/>
    <mergeCell ref="AA3:AF3"/>
    <mergeCell ref="AA4:AF4"/>
    <mergeCell ref="A5:Z7"/>
    <mergeCell ref="AA6:AF6"/>
    <mergeCell ref="A8:C10"/>
    <mergeCell ref="D8:AF8"/>
    <mergeCell ref="I10:L10"/>
    <mergeCell ref="N10:S10"/>
    <mergeCell ref="AA21:AF21"/>
    <mergeCell ref="AA22:AF22"/>
    <mergeCell ref="AA5:AB5"/>
    <mergeCell ref="AC5:AF5"/>
    <mergeCell ref="D14:AF14"/>
    <mergeCell ref="AA7:AD7"/>
    <mergeCell ref="AE7:AF7"/>
    <mergeCell ref="AA12:AF12"/>
    <mergeCell ref="AA11:AF11"/>
    <mergeCell ref="AA16:AF16"/>
    <mergeCell ref="AA17:AF17"/>
    <mergeCell ref="AA18:AF18"/>
    <mergeCell ref="AA20:AF20"/>
    <mergeCell ref="A16:P16"/>
    <mergeCell ref="A17:P17"/>
    <mergeCell ref="A18:P18"/>
    <mergeCell ref="A20:P20"/>
    <mergeCell ref="A19:P19"/>
    <mergeCell ref="AA19:AF19"/>
    <mergeCell ref="Q21:U24"/>
    <mergeCell ref="AB35:AF35"/>
    <mergeCell ref="AB36:AF36"/>
    <mergeCell ref="AB38:AF38"/>
    <mergeCell ref="AA24:AF24"/>
    <mergeCell ref="AA23:AF23"/>
    <mergeCell ref="B25:AF25"/>
    <mergeCell ref="A34:Q34"/>
    <mergeCell ref="R32:V32"/>
    <mergeCell ref="R33:V33"/>
    <mergeCell ref="R34:V34"/>
    <mergeCell ref="A26:AF27"/>
    <mergeCell ref="A28:AF28"/>
    <mergeCell ref="A37:Q37"/>
    <mergeCell ref="R37:V37"/>
    <mergeCell ref="W37:AA37"/>
    <mergeCell ref="AB37:AF37"/>
    <mergeCell ref="V16:Z24"/>
    <mergeCell ref="A21:P21"/>
    <mergeCell ref="A22:P22"/>
    <mergeCell ref="A23:P23"/>
    <mergeCell ref="Q16:U20"/>
    <mergeCell ref="W31:AA31"/>
    <mergeCell ref="A29:AF29"/>
    <mergeCell ref="A24:P24"/>
  </mergeCells>
  <dataValidations count="5">
    <dataValidation type="list" allowBlank="1" showInputMessage="1" showErrorMessage="1" promptTitle="Fund Cluster" prompt="REGULAR AGENCY FUND if charge to General Fund_x000a_BUSINESS RELATED FUND if charge to CPD Training Fund" sqref="AA4:AF4">
      <formula1>"Regular Agency Fund,Business Related Fund"</formula1>
    </dataValidation>
    <dataValidation type="list" allowBlank="1" showInputMessage="1" showErrorMessage="1" promptTitle="Service" sqref="Q16">
      <formula1>IF($Q$21="",RespCtr,INDIRECT("fakerange"))</formula1>
    </dataValidation>
    <dataValidation type="list" allowBlank="1" showInputMessage="1" showErrorMessage="1" sqref="Q21">
      <formula1>INDIRECT(SUBSTITUTE(Q16," ","_"))</formula1>
    </dataValidation>
    <dataValidation type="list" allowBlank="1" showInputMessage="1" showErrorMessage="1" sqref="A32:Q38">
      <formula1>dropdown</formula1>
    </dataValidation>
    <dataValidation type="list" allowBlank="1" showInputMessage="1" showErrorMessage="1" sqref="V49:AF49">
      <formula1>$AI$50:$AI$53</formula1>
    </dataValidation>
  </dataValidations>
  <printOptions horizontalCentered="1"/>
  <pageMargins left="0.25" right="0.25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24"/>
  <sheetViews>
    <sheetView topLeftCell="A7" workbookViewId="0">
      <selection activeCell="I3" sqref="I3"/>
    </sheetView>
  </sheetViews>
  <sheetFormatPr defaultRowHeight="13.8" x14ac:dyDescent="0.25"/>
  <cols>
    <col min="1" max="1" width="13.88671875" style="54" customWidth="1"/>
    <col min="2" max="2" width="16.109375" style="54" customWidth="1"/>
    <col min="3" max="3" width="10.44140625" style="54" customWidth="1"/>
    <col min="5" max="5" width="6.5546875" style="54" customWidth="1"/>
    <col min="6" max="6" width="83.77734375" style="54" customWidth="1"/>
    <col min="7" max="8" width="5.77734375" style="56" customWidth="1"/>
    <col min="9" max="9" width="6.6640625" style="55" customWidth="1"/>
    <col min="10" max="16384" width="8.88671875" style="55"/>
  </cols>
  <sheetData>
    <row r="1" spans="1:9" x14ac:dyDescent="0.25">
      <c r="A1" s="54" t="s">
        <v>76</v>
      </c>
      <c r="B1" s="54" t="s">
        <v>77</v>
      </c>
      <c r="C1" s="54" t="s">
        <v>78</v>
      </c>
      <c r="D1" s="54" t="s">
        <v>79</v>
      </c>
      <c r="E1" s="54" t="s">
        <v>1213</v>
      </c>
      <c r="F1" s="54" t="s">
        <v>20</v>
      </c>
      <c r="G1" s="54"/>
      <c r="H1" s="55"/>
      <c r="I1" s="55">
        <f ca="1">CELL("contents")</f>
        <v>0</v>
      </c>
    </row>
    <row r="2" spans="1:9" x14ac:dyDescent="0.25">
      <c r="A2" s="57"/>
      <c r="B2" s="57"/>
      <c r="C2" s="58"/>
      <c r="D2" s="57"/>
      <c r="E2" s="59"/>
      <c r="F2" s="60"/>
      <c r="G2" s="54"/>
      <c r="H2" s="55"/>
    </row>
    <row r="3" spans="1:9" x14ac:dyDescent="0.25">
      <c r="A3" s="54">
        <v>1010101000</v>
      </c>
      <c r="B3" s="54">
        <v>10101010</v>
      </c>
      <c r="C3" s="54">
        <f>RIGHT(Table1[[#This Row],[UACS]],2)*1</f>
        <v>0</v>
      </c>
      <c r="D3" s="54">
        <v>10101010</v>
      </c>
      <c r="E3" s="54">
        <f ca="1">IF(ISNUMBER(SEARCH($I$1,F3)),MAX($E$2:E2)+1,0)</f>
        <v>0</v>
      </c>
      <c r="F3" s="56" t="s">
        <v>80</v>
      </c>
      <c r="H3" s="55" t="str">
        <f ca="1">IFERROR(VLOOKUP(ROWS($H$3:H3),$E$3:$F$1136,2,0),"")</f>
        <v>Share from National Wealth-Tobacco Excise Tax (Burley and Native) per R.A. 8240</v>
      </c>
      <c r="I3" s="55" t="s">
        <v>1214</v>
      </c>
    </row>
    <row r="4" spans="1:9" x14ac:dyDescent="0.25">
      <c r="A4" s="54">
        <v>1010102000</v>
      </c>
      <c r="B4" s="54">
        <v>10101020</v>
      </c>
      <c r="C4" s="54">
        <f>RIGHT(Table1[[#This Row],[UACS]],2)*1</f>
        <v>0</v>
      </c>
      <c r="D4" s="54">
        <v>10101020</v>
      </c>
      <c r="E4" s="54">
        <f ca="1">IF(ISNUMBER(SEARCH($I$1,F4)),MAX($E$2:E3)+1,0)</f>
        <v>0</v>
      </c>
      <c r="F4" s="56" t="s">
        <v>81</v>
      </c>
      <c r="H4" s="55" t="str">
        <f ca="1">IFERROR(VLOOKUP(ROWS($H$3:H4),$E$3:$F$1136,2,0),"")</f>
        <v>Share from National Wealth-Mining Taxes per R.A. 7160</v>
      </c>
    </row>
    <row r="5" spans="1:9" x14ac:dyDescent="0.25">
      <c r="A5" s="54">
        <v>1010201000</v>
      </c>
      <c r="B5" s="54">
        <v>10102010</v>
      </c>
      <c r="C5" s="54">
        <f>RIGHT(Table1[[#This Row],[UACS]],2)*1</f>
        <v>0</v>
      </c>
      <c r="D5" s="54">
        <v>10102010</v>
      </c>
      <c r="E5" s="54">
        <f ca="1">IF(ISNUMBER(SEARCH($I$1,F5)),MAX($E$2:E4)+1,0)</f>
        <v>0</v>
      </c>
      <c r="F5" s="56" t="s">
        <v>82</v>
      </c>
      <c r="H5" s="55" t="str">
        <f ca="1">IFERROR(VLOOKUP(ROWS($H$3:H5),$E$3:$F$1136,2,0),"")</f>
        <v>Share from National Wealth-Royalties per R.A. 7160</v>
      </c>
    </row>
    <row r="6" spans="1:9" x14ac:dyDescent="0.25">
      <c r="A6" s="54">
        <v>1010202001</v>
      </c>
      <c r="B6" s="54">
        <v>10102020</v>
      </c>
      <c r="C6" s="54">
        <f>RIGHT(Table1[[#This Row],[UACS]],2)*1</f>
        <v>1</v>
      </c>
      <c r="D6" s="54">
        <v>10102020</v>
      </c>
      <c r="E6" s="54">
        <f ca="1">IF(ISNUMBER(SEARCH($I$1,F6)),MAX($E$2:E5)+1,0)</f>
        <v>0</v>
      </c>
      <c r="F6" s="56" t="s">
        <v>83</v>
      </c>
      <c r="H6" s="55" t="str">
        <f ca="1">IFERROR(VLOOKUP(ROWS($H$3:H6),$E$3:$F$1136,2,0),"")</f>
        <v>Share from National Wealth-Forestry Charges per R.A. 7160</v>
      </c>
    </row>
    <row r="7" spans="1:9" x14ac:dyDescent="0.25">
      <c r="A7" s="54">
        <v>1010202002</v>
      </c>
      <c r="B7" s="54">
        <v>10102020</v>
      </c>
      <c r="C7" s="54">
        <f>RIGHT(Table1[[#This Row],[UACS]],2)*1</f>
        <v>2</v>
      </c>
      <c r="D7" s="54">
        <v>10102020</v>
      </c>
      <c r="E7" s="54">
        <f ca="1">IF(ISNUMBER(SEARCH($I$1,F7)),MAX($E$2:E6)+1,0)</f>
        <v>0</v>
      </c>
      <c r="F7" s="56" t="s">
        <v>84</v>
      </c>
      <c r="H7" s="55" t="str">
        <f ca="1">IFERROR(VLOOKUP(ROWS($H$3:H7),$E$3:$F$1136,2,0),"")</f>
        <v>Share from National Wealth-Fishery Charges per R.A. 7160</v>
      </c>
    </row>
    <row r="8" spans="1:9" x14ac:dyDescent="0.25">
      <c r="A8" s="54">
        <v>1010202003</v>
      </c>
      <c r="B8" s="54">
        <v>10102020</v>
      </c>
      <c r="C8" s="54">
        <f>RIGHT(Table1[[#This Row],[UACS]],2)*1</f>
        <v>3</v>
      </c>
      <c r="D8" s="54">
        <v>10102020</v>
      </c>
      <c r="E8" s="54">
        <f ca="1">IF(ISNUMBER(SEARCH($I$1,F8)),MAX($E$2:E7)+1,0)</f>
        <v>0</v>
      </c>
      <c r="F8" s="56" t="s">
        <v>85</v>
      </c>
      <c r="H8" s="55" t="str">
        <f ca="1">IFERROR(VLOOKUP(ROWS($H$3:H8),$E$3:$F$1136,2,0),"")</f>
        <v>Share from National Wealth-Value Added Tax in lieu of Franchise Tax per R.A. 7953 and R.A. 8407</v>
      </c>
    </row>
    <row r="9" spans="1:9" x14ac:dyDescent="0.25">
      <c r="A9" s="54">
        <v>1010202004</v>
      </c>
      <c r="B9" s="54">
        <v>10102020</v>
      </c>
      <c r="C9" s="54">
        <f>RIGHT(Table1[[#This Row],[UACS]],2)*1</f>
        <v>4</v>
      </c>
      <c r="D9" s="54">
        <v>10102020</v>
      </c>
      <c r="E9" s="54">
        <f ca="1">IF(ISNUMBER(SEARCH($I$1,F9)),MAX($E$2:E8)+1,0)</f>
        <v>0</v>
      </c>
      <c r="F9" s="56" t="s">
        <v>86</v>
      </c>
      <c r="H9" s="55" t="str">
        <f ca="1">IFERROR(VLOOKUP(ROWS($H$3:H9),$E$3:$F$1136,2,0),"")</f>
        <v>Subsistence Allowance-Magna Carta Benefits for Public Health Workers under R.A. 7305</v>
      </c>
    </row>
    <row r="10" spans="1:9" x14ac:dyDescent="0.25">
      <c r="A10" s="54">
        <v>1010202005</v>
      </c>
      <c r="B10" s="54">
        <v>10102020</v>
      </c>
      <c r="C10" s="54">
        <f>RIGHT(Table1[[#This Row],[UACS]],2)*1</f>
        <v>5</v>
      </c>
      <c r="D10" s="54">
        <v>10102020</v>
      </c>
      <c r="E10" s="54">
        <f ca="1">IF(ISNUMBER(SEARCH($I$1,F10)),MAX($E$2:E9)+1,0)</f>
        <v>0</v>
      </c>
      <c r="F10" s="56" t="s">
        <v>87</v>
      </c>
      <c r="H10" s="55" t="str">
        <f ca="1">IFERROR(VLOOKUP(ROWS($H$3:H10),$E$3:$F$1136,2,0),"")</f>
        <v>Laundry Allowance-Magna Carta Benefits for Public Health Workers under R.A. 7305</v>
      </c>
    </row>
    <row r="11" spans="1:9" x14ac:dyDescent="0.25">
      <c r="A11" s="54">
        <v>1010202006</v>
      </c>
      <c r="B11" s="54">
        <v>10102020</v>
      </c>
      <c r="C11" s="54">
        <f>RIGHT(Table1[[#This Row],[UACS]],2)*1</f>
        <v>6</v>
      </c>
      <c r="D11" s="54">
        <v>10102020</v>
      </c>
      <c r="E11" s="54">
        <f ca="1">IF(ISNUMBER(SEARCH($I$1,F11)),MAX($E$2:E10)+1,0)</f>
        <v>0</v>
      </c>
      <c r="F11" s="56" t="s">
        <v>88</v>
      </c>
      <c r="H11" s="55" t="str">
        <f ca="1">IFERROR(VLOOKUP(ROWS($H$3:H11),$E$3:$F$1136,2,0),"")</f>
        <v>Quarters Allowance-Magna Carta Benefits for Public Health Workers under R.A. 7305</v>
      </c>
    </row>
    <row r="12" spans="1:9" x14ac:dyDescent="0.25">
      <c r="A12" s="54">
        <v>1010202007</v>
      </c>
      <c r="B12" s="54">
        <v>10102020</v>
      </c>
      <c r="C12" s="54">
        <f>RIGHT(Table1[[#This Row],[UACS]],2)*1</f>
        <v>7</v>
      </c>
      <c r="D12" s="54">
        <v>10102020</v>
      </c>
      <c r="E12" s="54">
        <f ca="1">IF(ISNUMBER(SEARCH($I$1,F12)),MAX($E$2:E11)+1,0)</f>
        <v>0</v>
      </c>
      <c r="F12" s="56" t="s">
        <v>89</v>
      </c>
      <c r="H12" s="55" t="str">
        <f ca="1">IFERROR(VLOOKUP(ROWS($H$3:H12),$E$3:$F$1136,2,0),"")</f>
        <v>Honoraria-Magna Carta Benefits for Public Health Workers under R.A. 7305</v>
      </c>
    </row>
    <row r="13" spans="1:9" x14ac:dyDescent="0.25">
      <c r="A13" s="54">
        <v>1010202008</v>
      </c>
      <c r="B13" s="54">
        <v>10102020</v>
      </c>
      <c r="C13" s="54">
        <f>RIGHT(Table1[[#This Row],[UACS]],2)*1</f>
        <v>8</v>
      </c>
      <c r="D13" s="54">
        <v>10102020</v>
      </c>
      <c r="E13" s="54">
        <f ca="1">IF(ISNUMBER(SEARCH($I$1,F13)),MAX($E$2:E12)+1,0)</f>
        <v>0</v>
      </c>
      <c r="F13" s="56" t="s">
        <v>90</v>
      </c>
      <c r="H13" s="55" t="str">
        <f ca="1">IFERROR(VLOOKUP(ROWS($H$3:H13),$E$3:$F$1136,2,0),"")</f>
        <v>HP-Magna Carta Benefits for Public Health Workers under R.A. 7305</v>
      </c>
    </row>
    <row r="14" spans="1:9" x14ac:dyDescent="0.25">
      <c r="A14" s="54">
        <v>1010202009</v>
      </c>
      <c r="B14" s="54">
        <v>10102020</v>
      </c>
      <c r="C14" s="54">
        <f>RIGHT(Table1[[#This Row],[UACS]],2)*1</f>
        <v>9</v>
      </c>
      <c r="D14" s="54">
        <v>10102020</v>
      </c>
      <c r="E14" s="54">
        <f ca="1">IF(ISNUMBER(SEARCH($I$1,F14)),MAX($E$2:E13)+1,0)</f>
        <v>0</v>
      </c>
      <c r="F14" s="56" t="s">
        <v>91</v>
      </c>
      <c r="H14" s="55" t="str">
        <f ca="1">IFERROR(VLOOKUP(ROWS($H$3:H14),$E$3:$F$1136,2,0),"")</f>
        <v>Longevity Pay-Magna Carta Benefits for Public Health Workers under R.A. 7305</v>
      </c>
    </row>
    <row r="15" spans="1:9" x14ac:dyDescent="0.25">
      <c r="A15" s="54">
        <v>1010202010</v>
      </c>
      <c r="B15" s="54">
        <v>10102020</v>
      </c>
      <c r="C15" s="54">
        <f>RIGHT(Table1[[#This Row],[UACS]],2)*1</f>
        <v>10</v>
      </c>
      <c r="D15" s="54">
        <v>10102020</v>
      </c>
      <c r="E15" s="54">
        <f ca="1">IF(ISNUMBER(SEARCH($I$1,F15)),MAX($E$2:E14)+1,0)</f>
        <v>0</v>
      </c>
      <c r="F15" s="56" t="s">
        <v>92</v>
      </c>
      <c r="H15" s="55" t="str">
        <f ca="1">IFERROR(VLOOKUP(ROWS($H$3:H15),$E$3:$F$1136,2,0),"")</f>
        <v>Lump-sum for NBC No. 308</v>
      </c>
    </row>
    <row r="16" spans="1:9" x14ac:dyDescent="0.25">
      <c r="A16" s="54">
        <v>1010202011</v>
      </c>
      <c r="B16" s="54">
        <v>10102020</v>
      </c>
      <c r="C16" s="54">
        <f>RIGHT(Table1[[#This Row],[UACS]],2)*1</f>
        <v>11</v>
      </c>
      <c r="D16" s="54">
        <v>10102020</v>
      </c>
      <c r="E16" s="54">
        <f ca="1">IF(ISNUMBER(SEARCH($I$1,F16)),MAX($E$2:E15)+1,0)</f>
        <v>0</v>
      </c>
      <c r="F16" s="56" t="s">
        <v>93</v>
      </c>
      <c r="H16" s="55" t="str">
        <f ca="1">IFERROR(VLOOKUP(ROWS($H$3:H16),$E$3:$F$1136,2,0),"")</f>
        <v>Financial Assistance to LGUs-Tobacco Excise Tax (Burley and Native) per R.A. 8240</v>
      </c>
    </row>
    <row r="17" spans="1:8" x14ac:dyDescent="0.25">
      <c r="A17" s="54">
        <v>1010202012</v>
      </c>
      <c r="B17" s="54">
        <v>10102020</v>
      </c>
      <c r="C17" s="54">
        <f>RIGHT(Table1[[#This Row],[UACS]],2)*1</f>
        <v>12</v>
      </c>
      <c r="D17" s="54">
        <v>10102020</v>
      </c>
      <c r="E17" s="54">
        <f ca="1">IF(ISNUMBER(SEARCH($I$1,F17)),MAX($E$2:E16)+1,0)</f>
        <v>0</v>
      </c>
      <c r="F17" s="56" t="s">
        <v>94</v>
      </c>
      <c r="H17" s="55" t="str">
        <f ca="1">IFERROR(VLOOKUP(ROWS($H$3:H17),$E$3:$F$1136,2,0),"")</f>
        <v>Financial Assistance to LGUs-Mining Taxes per R.A. 7160</v>
      </c>
    </row>
    <row r="18" spans="1:8" x14ac:dyDescent="0.25">
      <c r="A18" s="54">
        <v>1010202013</v>
      </c>
      <c r="B18" s="54">
        <v>10102020</v>
      </c>
      <c r="C18" s="54">
        <f>RIGHT(Table1[[#This Row],[UACS]],2)*1</f>
        <v>13</v>
      </c>
      <c r="D18" s="54">
        <v>10102020</v>
      </c>
      <c r="E18" s="54">
        <f ca="1">IF(ISNUMBER(SEARCH($I$1,F18)),MAX($E$2:E17)+1,0)</f>
        <v>0</v>
      </c>
      <c r="F18" s="56" t="s">
        <v>95</v>
      </c>
      <c r="H18" s="55" t="str">
        <f ca="1">IFERROR(VLOOKUP(ROWS($H$3:H18),$E$3:$F$1136,2,0),"")</f>
        <v>Financial Assistance to LGUs-Royalties per R.A. 7160</v>
      </c>
    </row>
    <row r="19" spans="1:8" x14ac:dyDescent="0.25">
      <c r="A19" s="54">
        <v>1010202014</v>
      </c>
      <c r="B19" s="54">
        <v>10102020</v>
      </c>
      <c r="C19" s="54">
        <f>RIGHT(Table1[[#This Row],[UACS]],2)*1</f>
        <v>14</v>
      </c>
      <c r="D19" s="54">
        <v>10102020</v>
      </c>
      <c r="E19" s="54">
        <f ca="1">IF(ISNUMBER(SEARCH($I$1,F19)),MAX($E$2:E18)+1,0)</f>
        <v>0</v>
      </c>
      <c r="F19" s="56" t="s">
        <v>96</v>
      </c>
      <c r="H19" s="55" t="str">
        <f ca="1">IFERROR(VLOOKUP(ROWS($H$3:H19),$E$3:$F$1136,2,0),"")</f>
        <v>Financial Assistance to LGUs-Forestry Charges per R.A. 7160</v>
      </c>
    </row>
    <row r="20" spans="1:8" x14ac:dyDescent="0.25">
      <c r="A20" s="54">
        <v>1010202015</v>
      </c>
      <c r="B20" s="54">
        <v>10102020</v>
      </c>
      <c r="C20" s="54">
        <f>RIGHT(Table1[[#This Row],[UACS]],2)*1</f>
        <v>15</v>
      </c>
      <c r="D20" s="54">
        <v>10102020</v>
      </c>
      <c r="E20" s="54">
        <f ca="1">IF(ISNUMBER(SEARCH($I$1,F20)),MAX($E$2:E19)+1,0)</f>
        <v>0</v>
      </c>
      <c r="F20" s="56" t="s">
        <v>97</v>
      </c>
      <c r="H20" s="55" t="str">
        <f ca="1">IFERROR(VLOOKUP(ROWS($H$3:H20),$E$3:$F$1136,2,0),"")</f>
        <v>Financial Assistance to LGUs-Fishery Charges per R.A. 7160</v>
      </c>
    </row>
    <row r="21" spans="1:8" x14ac:dyDescent="0.25">
      <c r="A21" s="54">
        <v>1010202016</v>
      </c>
      <c r="B21" s="54">
        <v>10102020</v>
      </c>
      <c r="C21" s="54">
        <f>RIGHT(Table1[[#This Row],[UACS]],2)*1</f>
        <v>16</v>
      </c>
      <c r="D21" s="54">
        <v>10102020</v>
      </c>
      <c r="E21" s="54">
        <f ca="1">IF(ISNUMBER(SEARCH($I$1,F21)),MAX($E$2:E20)+1,0)</f>
        <v>0</v>
      </c>
      <c r="F21" s="56" t="s">
        <v>98</v>
      </c>
      <c r="H21" s="55" t="str">
        <f ca="1">IFERROR(VLOOKUP(ROWS($H$3:H21),E:F,2,0),"")</f>
        <v>Financial Assistance to LGUs-Value Added Tax in lieu of Franchise Tax per R.A. 7953 and R.A. 8407</v>
      </c>
    </row>
    <row r="22" spans="1:8" x14ac:dyDescent="0.25">
      <c r="A22" s="54">
        <v>1010202017</v>
      </c>
      <c r="B22" s="54">
        <v>10102020</v>
      </c>
      <c r="C22" s="54">
        <f>RIGHT(Table1[[#This Row],[UACS]],2)*1</f>
        <v>17</v>
      </c>
      <c r="D22" s="54">
        <v>10102020</v>
      </c>
      <c r="E22" s="54">
        <f ca="1">IF(ISNUMBER(SEARCH($I$1,F22)),MAX($E$2:E21)+1,0)</f>
        <v>0</v>
      </c>
      <c r="F22" s="56" t="s">
        <v>99</v>
      </c>
      <c r="H22" s="55" t="str">
        <f ca="1">IFERROR(VLOOKUP(ROWS($H$3:H22),E:F,2,0),"")</f>
        <v/>
      </c>
    </row>
    <row r="23" spans="1:8" x14ac:dyDescent="0.25">
      <c r="A23" s="54">
        <v>1010202018</v>
      </c>
      <c r="B23" s="54">
        <v>10102020</v>
      </c>
      <c r="C23" s="54">
        <f>RIGHT(Table1[[#This Row],[UACS]],2)*1</f>
        <v>18</v>
      </c>
      <c r="D23" s="54">
        <v>10102020</v>
      </c>
      <c r="E23" s="54">
        <f ca="1">IF(ISNUMBER(SEARCH($I$1,F23)),MAX($E$2:E22)+1,0)</f>
        <v>0</v>
      </c>
      <c r="F23" s="56" t="s">
        <v>100</v>
      </c>
      <c r="H23" s="55" t="str">
        <f ca="1">IFERROR(VLOOKUP(ROWS($H$3:H23),E:F,2,0),"")</f>
        <v/>
      </c>
    </row>
    <row r="24" spans="1:8" x14ac:dyDescent="0.25">
      <c r="A24" s="54">
        <v>1010202019</v>
      </c>
      <c r="B24" s="54">
        <v>10102020</v>
      </c>
      <c r="C24" s="54">
        <f>RIGHT(Table1[[#This Row],[UACS]],2)*1</f>
        <v>19</v>
      </c>
      <c r="D24" s="54">
        <v>10102020</v>
      </c>
      <c r="E24" s="54">
        <f ca="1">IF(ISNUMBER(SEARCH($I$1,F24)),MAX($E$2:E23)+1,0)</f>
        <v>0</v>
      </c>
      <c r="F24" s="56" t="s">
        <v>101</v>
      </c>
      <c r="H24" s="55" t="str">
        <f ca="1">IFERROR(VLOOKUP(ROWS($H$3:H24),E:F,2,0),"")</f>
        <v/>
      </c>
    </row>
    <row r="25" spans="1:8" x14ac:dyDescent="0.25">
      <c r="A25" s="54">
        <v>1010202020</v>
      </c>
      <c r="B25" s="54">
        <v>10102020</v>
      </c>
      <c r="C25" s="54">
        <f>RIGHT(Table1[[#This Row],[UACS]],2)*1</f>
        <v>20</v>
      </c>
      <c r="D25" s="54">
        <v>10102020</v>
      </c>
      <c r="E25" s="54">
        <f ca="1">IF(ISNUMBER(SEARCH($I$1,F25)),MAX($E$2:E24)+1,0)</f>
        <v>0</v>
      </c>
      <c r="F25" s="56" t="s">
        <v>102</v>
      </c>
      <c r="H25" s="55" t="str">
        <f ca="1">IFERROR(VLOOKUP(ROWS($H$3:H25),E:F,2,0),"")</f>
        <v/>
      </c>
    </row>
    <row r="26" spans="1:8" x14ac:dyDescent="0.25">
      <c r="A26" s="54">
        <v>1010202021</v>
      </c>
      <c r="B26" s="54">
        <v>10102020</v>
      </c>
      <c r="C26" s="54">
        <f>RIGHT(Table1[[#This Row],[UACS]],2)*1</f>
        <v>21</v>
      </c>
      <c r="D26" s="54">
        <v>10102020</v>
      </c>
      <c r="E26" s="54">
        <f ca="1">IF(ISNUMBER(SEARCH($I$1,F26)),MAX($E$2:E25)+1,0)</f>
        <v>0</v>
      </c>
      <c r="F26" s="56" t="s">
        <v>103</v>
      </c>
      <c r="H26" s="55" t="str">
        <f ca="1">IFERROR(VLOOKUP(ROWS($H$3:H26),E:F,2,0),"")</f>
        <v/>
      </c>
    </row>
    <row r="27" spans="1:8" x14ac:dyDescent="0.25">
      <c r="A27" s="54">
        <v>1010202022</v>
      </c>
      <c r="B27" s="54">
        <v>10102020</v>
      </c>
      <c r="C27" s="54">
        <f>RIGHT(Table1[[#This Row],[UACS]],2)*1</f>
        <v>22</v>
      </c>
      <c r="D27" s="54">
        <v>10102020</v>
      </c>
      <c r="E27" s="54">
        <f ca="1">IF(ISNUMBER(SEARCH($I$1,F27)),MAX($E$2:E26)+1,0)</f>
        <v>0</v>
      </c>
      <c r="F27" s="56" t="s">
        <v>104</v>
      </c>
      <c r="H27" s="55" t="str">
        <f ca="1">IFERROR(VLOOKUP(ROWS($H$3:H27),E:F,2,0),"")</f>
        <v/>
      </c>
    </row>
    <row r="28" spans="1:8" x14ac:dyDescent="0.25">
      <c r="A28" s="54">
        <v>1010202023</v>
      </c>
      <c r="B28" s="54">
        <v>10102020</v>
      </c>
      <c r="C28" s="54">
        <f>RIGHT(Table1[[#This Row],[UACS]],2)*1</f>
        <v>23</v>
      </c>
      <c r="D28" s="54">
        <v>10102020</v>
      </c>
      <c r="E28" s="54">
        <f ca="1">IF(ISNUMBER(SEARCH($I$1,F28)),MAX($E$2:E27)+1,0)</f>
        <v>0</v>
      </c>
      <c r="F28" s="56" t="s">
        <v>105</v>
      </c>
      <c r="H28" s="55" t="str">
        <f ca="1">IFERROR(VLOOKUP(ROWS($H$3:H28),E:F,2,0),"")</f>
        <v/>
      </c>
    </row>
    <row r="29" spans="1:8" x14ac:dyDescent="0.25">
      <c r="A29" s="54">
        <v>1010202024</v>
      </c>
      <c r="B29" s="54">
        <v>10102020</v>
      </c>
      <c r="C29" s="54">
        <f>RIGHT(Table1[[#This Row],[UACS]],2)*1</f>
        <v>24</v>
      </c>
      <c r="D29" s="54">
        <v>10102020</v>
      </c>
      <c r="E29" s="54">
        <f ca="1">IF(ISNUMBER(SEARCH($I$1,F29)),MAX($E$2:E28)+1,0)</f>
        <v>0</v>
      </c>
      <c r="F29" s="56" t="s">
        <v>106</v>
      </c>
      <c r="H29" s="55" t="str">
        <f ca="1">IFERROR(VLOOKUP(ROWS($H$3:H29),E:F,2,0),"")</f>
        <v/>
      </c>
    </row>
    <row r="30" spans="1:8" x14ac:dyDescent="0.25">
      <c r="A30" s="54">
        <v>1010202025</v>
      </c>
      <c r="B30" s="54">
        <v>10102020</v>
      </c>
      <c r="C30" s="54">
        <f>RIGHT(Table1[[#This Row],[UACS]],2)*1</f>
        <v>25</v>
      </c>
      <c r="D30" s="54">
        <v>10102020</v>
      </c>
      <c r="E30" s="54">
        <f ca="1">IF(ISNUMBER(SEARCH($I$1,F30)),MAX($E$2:E29)+1,0)</f>
        <v>0</v>
      </c>
      <c r="F30" s="56" t="s">
        <v>107</v>
      </c>
      <c r="H30" s="55" t="str">
        <f ca="1">IFERROR(VLOOKUP(ROWS($H$3:H30),E:F,2,0),"")</f>
        <v/>
      </c>
    </row>
    <row r="31" spans="1:8" x14ac:dyDescent="0.25">
      <c r="A31" s="54">
        <v>1010202026</v>
      </c>
      <c r="B31" s="54">
        <v>10102020</v>
      </c>
      <c r="C31" s="54">
        <f>RIGHT(Table1[[#This Row],[UACS]],2)*1</f>
        <v>26</v>
      </c>
      <c r="D31" s="54">
        <v>10102020</v>
      </c>
      <c r="E31" s="54">
        <f ca="1">IF(ISNUMBER(SEARCH($I$1,F31)),MAX($E$2:E30)+1,0)</f>
        <v>0</v>
      </c>
      <c r="F31" s="56" t="s">
        <v>108</v>
      </c>
      <c r="H31" s="55" t="str">
        <f ca="1">IFERROR(VLOOKUP(ROWS($H$3:H31),E:F,2,0),"")</f>
        <v/>
      </c>
    </row>
    <row r="32" spans="1:8" x14ac:dyDescent="0.25">
      <c r="A32" s="54">
        <v>1010202027</v>
      </c>
      <c r="B32" s="54">
        <v>10102020</v>
      </c>
      <c r="C32" s="54">
        <f>RIGHT(Table1[[#This Row],[UACS]],2)*1</f>
        <v>27</v>
      </c>
      <c r="D32" s="54">
        <v>10102020</v>
      </c>
      <c r="E32" s="54">
        <f ca="1">IF(ISNUMBER(SEARCH($I$1,F32)),MAX($E$2:E31)+1,0)</f>
        <v>0</v>
      </c>
      <c r="F32" s="56" t="s">
        <v>109</v>
      </c>
      <c r="H32" s="55" t="str">
        <f ca="1">IFERROR(VLOOKUP(ROWS($H$3:H32),E:F,2,0),"")</f>
        <v/>
      </c>
    </row>
    <row r="33" spans="1:8" x14ac:dyDescent="0.25">
      <c r="A33" s="54">
        <v>1010202028</v>
      </c>
      <c r="B33" s="54">
        <v>10102020</v>
      </c>
      <c r="C33" s="54">
        <f>RIGHT(Table1[[#This Row],[UACS]],2)*1</f>
        <v>28</v>
      </c>
      <c r="D33" s="54">
        <v>10102020</v>
      </c>
      <c r="E33" s="54">
        <f ca="1">IF(ISNUMBER(SEARCH($I$1,F33)),MAX($E$2:E32)+1,0)</f>
        <v>0</v>
      </c>
      <c r="F33" s="56" t="s">
        <v>110</v>
      </c>
      <c r="H33" s="55" t="str">
        <f ca="1">IFERROR(VLOOKUP(ROWS($H$3:H33),E:F,2,0),"")</f>
        <v/>
      </c>
    </row>
    <row r="34" spans="1:8" x14ac:dyDescent="0.25">
      <c r="A34" s="54">
        <v>1010202029</v>
      </c>
      <c r="B34" s="54">
        <v>10102020</v>
      </c>
      <c r="C34" s="54">
        <f>RIGHT(Table1[[#This Row],[UACS]],2)*1</f>
        <v>29</v>
      </c>
      <c r="D34" s="54">
        <v>10102020</v>
      </c>
      <c r="E34" s="54">
        <f ca="1">IF(ISNUMBER(SEARCH($I$1,F34)),MAX($E$2:E33)+1,0)</f>
        <v>0</v>
      </c>
      <c r="F34" s="56" t="s">
        <v>111</v>
      </c>
      <c r="H34" s="55" t="str">
        <f ca="1">IFERROR(VLOOKUP(ROWS($H$3:H34),E:F,2,0),"")</f>
        <v/>
      </c>
    </row>
    <row r="35" spans="1:8" x14ac:dyDescent="0.25">
      <c r="A35" s="54">
        <v>1010202030</v>
      </c>
      <c r="B35" s="54">
        <v>10102020</v>
      </c>
      <c r="C35" s="54">
        <f>RIGHT(Table1[[#This Row],[UACS]],2)*1</f>
        <v>30</v>
      </c>
      <c r="D35" s="54">
        <v>10102020</v>
      </c>
      <c r="E35" s="54">
        <f ca="1">IF(ISNUMBER(SEARCH($I$1,F35)),MAX($E$2:E34)+1,0)</f>
        <v>0</v>
      </c>
      <c r="F35" s="56" t="s">
        <v>112</v>
      </c>
      <c r="H35" s="55" t="str">
        <f ca="1">IFERROR(VLOOKUP(ROWS($H$3:H35),E:F,2,0),"")</f>
        <v/>
      </c>
    </row>
    <row r="36" spans="1:8" x14ac:dyDescent="0.25">
      <c r="A36" s="54">
        <v>1010202031</v>
      </c>
      <c r="B36" s="54">
        <v>10102020</v>
      </c>
      <c r="C36" s="54">
        <f>RIGHT(Table1[[#This Row],[UACS]],2)*1</f>
        <v>31</v>
      </c>
      <c r="D36" s="54">
        <v>10102020</v>
      </c>
      <c r="E36" s="54">
        <f ca="1">IF(ISNUMBER(SEARCH($I$1,F36)),MAX($E$2:E35)+1,0)</f>
        <v>0</v>
      </c>
      <c r="F36" s="56" t="s">
        <v>113</v>
      </c>
      <c r="H36" s="55" t="str">
        <f ca="1">IFERROR(VLOOKUP(ROWS($H$3:H36),E:F,2,0),"")</f>
        <v/>
      </c>
    </row>
    <row r="37" spans="1:8" x14ac:dyDescent="0.25">
      <c r="A37" s="54">
        <v>1010202032</v>
      </c>
      <c r="B37" s="54">
        <v>10102020</v>
      </c>
      <c r="C37" s="54">
        <f>RIGHT(Table1[[#This Row],[UACS]],2)*1</f>
        <v>32</v>
      </c>
      <c r="D37" s="54">
        <v>10102020</v>
      </c>
      <c r="E37" s="54">
        <f ca="1">IF(ISNUMBER(SEARCH($I$1,F37)),MAX($E$2:E36)+1,0)</f>
        <v>0</v>
      </c>
      <c r="F37" s="56" t="s">
        <v>114</v>
      </c>
      <c r="H37" s="55" t="str">
        <f ca="1">IFERROR(VLOOKUP(ROWS($H$3:H37),E:F,2,0),"")</f>
        <v/>
      </c>
    </row>
    <row r="38" spans="1:8" x14ac:dyDescent="0.25">
      <c r="A38" s="54">
        <v>1010202033</v>
      </c>
      <c r="B38" s="54">
        <v>10102020</v>
      </c>
      <c r="C38" s="54">
        <f>RIGHT(Table1[[#This Row],[UACS]],2)*1</f>
        <v>33</v>
      </c>
      <c r="D38" s="54">
        <v>10102020</v>
      </c>
      <c r="E38" s="54">
        <f ca="1">IF(ISNUMBER(SEARCH($I$1,F38)),MAX($E$2:E37)+1,0)</f>
        <v>0</v>
      </c>
      <c r="F38" s="56" t="s">
        <v>115</v>
      </c>
      <c r="H38" s="55" t="str">
        <f ca="1">IFERROR(VLOOKUP(ROWS($H$3:H38),E:F,2,0),"")</f>
        <v/>
      </c>
    </row>
    <row r="39" spans="1:8" x14ac:dyDescent="0.25">
      <c r="A39" s="54">
        <v>1010202034</v>
      </c>
      <c r="B39" s="54">
        <v>10102020</v>
      </c>
      <c r="C39" s="54">
        <f>RIGHT(Table1[[#This Row],[UACS]],2)*1</f>
        <v>34</v>
      </c>
      <c r="D39" s="54">
        <v>10102020</v>
      </c>
      <c r="E39" s="54">
        <f ca="1">IF(ISNUMBER(SEARCH($I$1,F39)),MAX($E$2:E38)+1,0)</f>
        <v>0</v>
      </c>
      <c r="F39" s="56" t="s">
        <v>116</v>
      </c>
      <c r="H39" s="55" t="str">
        <f ca="1">IFERROR(VLOOKUP(ROWS($H$3:H39),E:F,2,0),"")</f>
        <v/>
      </c>
    </row>
    <row r="40" spans="1:8" x14ac:dyDescent="0.25">
      <c r="A40" s="54">
        <v>1010202035</v>
      </c>
      <c r="B40" s="54">
        <v>10102020</v>
      </c>
      <c r="C40" s="54">
        <f>RIGHT(Table1[[#This Row],[UACS]],2)*1</f>
        <v>35</v>
      </c>
      <c r="D40" s="54">
        <v>10102020</v>
      </c>
      <c r="E40" s="54">
        <f ca="1">IF(ISNUMBER(SEARCH($I$1,F40)),MAX($E$2:E39)+1,0)</f>
        <v>0</v>
      </c>
      <c r="F40" s="56" t="s">
        <v>117</v>
      </c>
      <c r="H40" s="55" t="str">
        <f ca="1">IFERROR(VLOOKUP(ROWS($H$3:H40),E:F,2,0),"")</f>
        <v/>
      </c>
    </row>
    <row r="41" spans="1:8" x14ac:dyDescent="0.25">
      <c r="A41" s="54">
        <v>1010202036</v>
      </c>
      <c r="B41" s="54">
        <v>10102020</v>
      </c>
      <c r="C41" s="54">
        <f>RIGHT(Table1[[#This Row],[UACS]],2)*1</f>
        <v>36</v>
      </c>
      <c r="D41" s="54">
        <v>10102020</v>
      </c>
      <c r="E41" s="54">
        <f ca="1">IF(ISNUMBER(SEARCH($I$1,F41)),MAX($E$2:E40)+1,0)</f>
        <v>0</v>
      </c>
      <c r="F41" s="56" t="s">
        <v>118</v>
      </c>
      <c r="H41" s="55" t="str">
        <f ca="1">IFERROR(VLOOKUP(ROWS($H$3:H41),E:F,2,0),"")</f>
        <v/>
      </c>
    </row>
    <row r="42" spans="1:8" x14ac:dyDescent="0.25">
      <c r="A42" s="54">
        <v>1010202037</v>
      </c>
      <c r="B42" s="54">
        <v>10102020</v>
      </c>
      <c r="C42" s="54">
        <f>RIGHT(Table1[[#This Row],[UACS]],2)*1</f>
        <v>37</v>
      </c>
      <c r="D42" s="54">
        <v>10102020</v>
      </c>
      <c r="E42" s="54">
        <f ca="1">IF(ISNUMBER(SEARCH($I$1,F42)),MAX($E$2:E41)+1,0)</f>
        <v>0</v>
      </c>
      <c r="F42" s="56" t="s">
        <v>119</v>
      </c>
      <c r="H42" s="55" t="str">
        <f ca="1">IFERROR(VLOOKUP(ROWS($H$3:H42),E:F,2,0),"")</f>
        <v/>
      </c>
    </row>
    <row r="43" spans="1:8" x14ac:dyDescent="0.25">
      <c r="A43" s="54">
        <v>1010202038</v>
      </c>
      <c r="B43" s="54">
        <v>10102020</v>
      </c>
      <c r="C43" s="54">
        <f>RIGHT(Table1[[#This Row],[UACS]],2)*1</f>
        <v>38</v>
      </c>
      <c r="D43" s="54">
        <v>10102020</v>
      </c>
      <c r="E43" s="54">
        <f ca="1">IF(ISNUMBER(SEARCH($I$1,F43)),MAX($E$2:E42)+1,0)</f>
        <v>0</v>
      </c>
      <c r="F43" s="56" t="s">
        <v>120</v>
      </c>
      <c r="H43" s="55" t="str">
        <f ca="1">IFERROR(VLOOKUP(ROWS($H$3:H43),E:F,2,0),"")</f>
        <v/>
      </c>
    </row>
    <row r="44" spans="1:8" x14ac:dyDescent="0.25">
      <c r="A44" s="54">
        <v>1010202039</v>
      </c>
      <c r="B44" s="54">
        <v>10102020</v>
      </c>
      <c r="C44" s="54">
        <f>RIGHT(Table1[[#This Row],[UACS]],2)*1</f>
        <v>39</v>
      </c>
      <c r="D44" s="54">
        <v>10102020</v>
      </c>
      <c r="E44" s="54">
        <f ca="1">IF(ISNUMBER(SEARCH($I$1,F44)),MAX($E$2:E43)+1,0)</f>
        <v>0</v>
      </c>
      <c r="F44" s="56" t="s">
        <v>121</v>
      </c>
      <c r="H44" s="55" t="str">
        <f ca="1">IFERROR(VLOOKUP(ROWS($H$3:H44),E:F,2,0),"")</f>
        <v/>
      </c>
    </row>
    <row r="45" spans="1:8" x14ac:dyDescent="0.25">
      <c r="A45" s="54">
        <v>1010203001</v>
      </c>
      <c r="B45" s="54">
        <v>10102030</v>
      </c>
      <c r="C45" s="54">
        <f>RIGHT(Table1[[#This Row],[UACS]],2)*1</f>
        <v>1</v>
      </c>
      <c r="D45" s="54">
        <v>10102030</v>
      </c>
      <c r="E45" s="54">
        <f ca="1">IF(ISNUMBER(SEARCH($I$1,F45)),MAX($E$2:E44)+1,0)</f>
        <v>0</v>
      </c>
      <c r="F45" s="56" t="s">
        <v>122</v>
      </c>
      <c r="H45" s="55" t="str">
        <f ca="1">IFERROR(VLOOKUP(ROWS($H$3:H45),E:F,2,0),"")</f>
        <v/>
      </c>
    </row>
    <row r="46" spans="1:8" x14ac:dyDescent="0.25">
      <c r="A46" s="54">
        <v>1010203002</v>
      </c>
      <c r="B46" s="54">
        <v>10102030</v>
      </c>
      <c r="C46" s="54">
        <f>RIGHT(Table1[[#This Row],[UACS]],2)*1</f>
        <v>2</v>
      </c>
      <c r="D46" s="54">
        <v>10102030</v>
      </c>
      <c r="E46" s="54">
        <f ca="1">IF(ISNUMBER(SEARCH($I$1,F46)),MAX($E$2:E45)+1,0)</f>
        <v>0</v>
      </c>
      <c r="F46" s="56" t="s">
        <v>123</v>
      </c>
      <c r="H46" s="55" t="str">
        <f ca="1">IFERROR(VLOOKUP(ROWS($H$3:H46),E:F,2,0),"")</f>
        <v/>
      </c>
    </row>
    <row r="47" spans="1:8" x14ac:dyDescent="0.25">
      <c r="A47" s="54">
        <v>1010203003</v>
      </c>
      <c r="B47" s="54">
        <v>10102030</v>
      </c>
      <c r="C47" s="54">
        <f>RIGHT(Table1[[#This Row],[UACS]],2)*1</f>
        <v>3</v>
      </c>
      <c r="D47" s="54">
        <v>10102030</v>
      </c>
      <c r="E47" s="54">
        <f ca="1">IF(ISNUMBER(SEARCH($I$1,F47)),MAX($E$2:E46)+1,0)</f>
        <v>0</v>
      </c>
      <c r="F47" s="56" t="s">
        <v>124</v>
      </c>
      <c r="H47" s="55" t="str">
        <f ca="1">IFERROR(VLOOKUP(ROWS($H$3:H47),E:F,2,0),"")</f>
        <v/>
      </c>
    </row>
    <row r="48" spans="1:8" x14ac:dyDescent="0.25">
      <c r="A48" s="54">
        <v>1010203004</v>
      </c>
      <c r="B48" s="54">
        <v>10102030</v>
      </c>
      <c r="C48" s="54">
        <f>RIGHT(Table1[[#This Row],[UACS]],2)*1</f>
        <v>4</v>
      </c>
      <c r="D48" s="54">
        <v>10102030</v>
      </c>
      <c r="E48" s="54">
        <f ca="1">IF(ISNUMBER(SEARCH($I$1,F48)),MAX($E$2:E47)+1,0)</f>
        <v>0</v>
      </c>
      <c r="F48" s="56" t="s">
        <v>125</v>
      </c>
      <c r="H48" s="55" t="str">
        <f ca="1">IFERROR(VLOOKUP(ROWS($H$3:H48),E:F,2,0),"")</f>
        <v/>
      </c>
    </row>
    <row r="49" spans="1:8" x14ac:dyDescent="0.25">
      <c r="A49" s="54">
        <v>1010203005</v>
      </c>
      <c r="B49" s="54">
        <v>10102030</v>
      </c>
      <c r="C49" s="54">
        <f>RIGHT(Table1[[#This Row],[UACS]],2)*1</f>
        <v>5</v>
      </c>
      <c r="D49" s="54">
        <v>10102030</v>
      </c>
      <c r="E49" s="54">
        <f ca="1">IF(ISNUMBER(SEARCH($I$1,F49)),MAX($E$2:E48)+1,0)</f>
        <v>0</v>
      </c>
      <c r="F49" s="56" t="s">
        <v>126</v>
      </c>
      <c r="H49" s="55" t="str">
        <f ca="1">IFERROR(VLOOKUP(ROWS($H$3:H49),E:F,2,0),"")</f>
        <v/>
      </c>
    </row>
    <row r="50" spans="1:8" x14ac:dyDescent="0.25">
      <c r="A50" s="54">
        <v>1010203006</v>
      </c>
      <c r="B50" s="54">
        <v>10102030</v>
      </c>
      <c r="C50" s="54">
        <f>RIGHT(Table1[[#This Row],[UACS]],2)*1</f>
        <v>6</v>
      </c>
      <c r="D50" s="54">
        <v>10102030</v>
      </c>
      <c r="E50" s="54">
        <f ca="1">IF(ISNUMBER(SEARCH($I$1,F50)),MAX($E$2:E49)+1,0)</f>
        <v>0</v>
      </c>
      <c r="F50" s="56" t="s">
        <v>127</v>
      </c>
      <c r="H50" s="55" t="str">
        <f ca="1">IFERROR(VLOOKUP(ROWS($H$3:H50),E:F,2,0),"")</f>
        <v/>
      </c>
    </row>
    <row r="51" spans="1:8" x14ac:dyDescent="0.25">
      <c r="A51" s="54">
        <v>1010203007</v>
      </c>
      <c r="B51" s="54">
        <v>10102030</v>
      </c>
      <c r="C51" s="54">
        <f>RIGHT(Table1[[#This Row],[UACS]],2)*1</f>
        <v>7</v>
      </c>
      <c r="D51" s="54">
        <v>10102030</v>
      </c>
      <c r="E51" s="54">
        <f ca="1">IF(ISNUMBER(SEARCH($I$1,F51)),MAX($E$2:E50)+1,0)</f>
        <v>0</v>
      </c>
      <c r="F51" s="56" t="s">
        <v>128</v>
      </c>
      <c r="H51" s="55" t="str">
        <f ca="1">IFERROR(VLOOKUP(ROWS($H$3:H51),E:F,2,0),"")</f>
        <v/>
      </c>
    </row>
    <row r="52" spans="1:8" x14ac:dyDescent="0.25">
      <c r="A52" s="54">
        <v>1010204001</v>
      </c>
      <c r="B52" s="54">
        <v>10102040</v>
      </c>
      <c r="C52" s="54">
        <f>RIGHT(Table1[[#This Row],[UACS]],2)*1</f>
        <v>1</v>
      </c>
      <c r="D52" s="54">
        <v>10102040</v>
      </c>
      <c r="E52" s="54">
        <f ca="1">IF(ISNUMBER(SEARCH($I$1,F52)),MAX($E$2:E51)+1,0)</f>
        <v>0</v>
      </c>
      <c r="F52" s="56" t="s">
        <v>129</v>
      </c>
      <c r="H52" s="55" t="str">
        <f ca="1">IFERROR(VLOOKUP(ROWS($H$3:H52),E:F,2,0),"")</f>
        <v/>
      </c>
    </row>
    <row r="53" spans="1:8" x14ac:dyDescent="0.25">
      <c r="A53" s="54">
        <v>1010204002</v>
      </c>
      <c r="B53" s="54">
        <v>10102040</v>
      </c>
      <c r="C53" s="54">
        <f>RIGHT(Table1[[#This Row],[UACS]],2)*1</f>
        <v>2</v>
      </c>
      <c r="D53" s="54">
        <v>10102040</v>
      </c>
      <c r="E53" s="54">
        <f ca="1">IF(ISNUMBER(SEARCH($I$1,F53)),MAX($E$2:E52)+1,0)</f>
        <v>0</v>
      </c>
      <c r="F53" s="56" t="s">
        <v>130</v>
      </c>
      <c r="H53" s="55" t="str">
        <f ca="1">IFERROR(VLOOKUP(ROWS($H$3:H53),E:F,2,0),"")</f>
        <v/>
      </c>
    </row>
    <row r="54" spans="1:8" x14ac:dyDescent="0.25">
      <c r="A54" s="54">
        <v>1010204003</v>
      </c>
      <c r="B54" s="54">
        <v>10102040</v>
      </c>
      <c r="C54" s="54">
        <f>RIGHT(Table1[[#This Row],[UACS]],2)*1</f>
        <v>3</v>
      </c>
      <c r="D54" s="54">
        <v>10102040</v>
      </c>
      <c r="E54" s="54">
        <f ca="1">IF(ISNUMBER(SEARCH($I$1,F54)),MAX($E$2:E53)+1,0)</f>
        <v>0</v>
      </c>
      <c r="F54" s="56" t="s">
        <v>131</v>
      </c>
      <c r="H54" s="55" t="str">
        <f ca="1">IFERROR(VLOOKUP(ROWS($H$3:H54),E:F,2,0),"")</f>
        <v/>
      </c>
    </row>
    <row r="55" spans="1:8" x14ac:dyDescent="0.25">
      <c r="A55" s="54">
        <v>1010204004</v>
      </c>
      <c r="B55" s="54">
        <v>10102040</v>
      </c>
      <c r="C55" s="54">
        <f>RIGHT(Table1[[#This Row],[UACS]],2)*1</f>
        <v>4</v>
      </c>
      <c r="D55" s="54">
        <v>10102040</v>
      </c>
      <c r="E55" s="54">
        <f ca="1">IF(ISNUMBER(SEARCH($I$1,F55)),MAX($E$2:E54)+1,0)</f>
        <v>0</v>
      </c>
      <c r="F55" s="56" t="s">
        <v>132</v>
      </c>
      <c r="H55" s="55" t="str">
        <f ca="1">IFERROR(VLOOKUP(ROWS($H$3:H55),E:F,2,0),"")</f>
        <v/>
      </c>
    </row>
    <row r="56" spans="1:8" x14ac:dyDescent="0.25">
      <c r="A56" s="54">
        <v>1010204005</v>
      </c>
      <c r="B56" s="54">
        <v>10102040</v>
      </c>
      <c r="C56" s="54">
        <f>RIGHT(Table1[[#This Row],[UACS]],2)*1</f>
        <v>5</v>
      </c>
      <c r="D56" s="54">
        <v>10102040</v>
      </c>
      <c r="E56" s="54">
        <f ca="1">IF(ISNUMBER(SEARCH($I$1,F56)),MAX($E$2:E55)+1,0)</f>
        <v>0</v>
      </c>
      <c r="F56" s="56" t="s">
        <v>133</v>
      </c>
      <c r="H56" s="55" t="str">
        <f ca="1">IFERROR(VLOOKUP(ROWS($H$3:H56),E:F,2,0),"")</f>
        <v/>
      </c>
    </row>
    <row r="57" spans="1:8" x14ac:dyDescent="0.25">
      <c r="A57" s="54">
        <v>1010301000</v>
      </c>
      <c r="B57" s="54">
        <v>10103010</v>
      </c>
      <c r="C57" s="54">
        <f>RIGHT(Table1[[#This Row],[UACS]],2)*1</f>
        <v>0</v>
      </c>
      <c r="D57" s="54">
        <v>10103010</v>
      </c>
      <c r="E57" s="54">
        <f ca="1">IF(ISNUMBER(SEARCH($I$1,F57)),MAX($E$2:E56)+1,0)</f>
        <v>0</v>
      </c>
      <c r="F57" s="56" t="s">
        <v>134</v>
      </c>
      <c r="H57" s="55" t="str">
        <f ca="1">IFERROR(VLOOKUP(ROWS($H$3:H57),E:F,2,0),"")</f>
        <v/>
      </c>
    </row>
    <row r="58" spans="1:8" x14ac:dyDescent="0.25">
      <c r="A58" s="54">
        <v>1010302000</v>
      </c>
      <c r="B58" s="54">
        <v>10103020</v>
      </c>
      <c r="C58" s="54">
        <f>RIGHT(Table1[[#This Row],[UACS]],2)*1</f>
        <v>0</v>
      </c>
      <c r="D58" s="54">
        <v>10103020</v>
      </c>
      <c r="E58" s="54">
        <f ca="1">IF(ISNUMBER(SEARCH($I$1,F58)),MAX($E$2:E57)+1,0)</f>
        <v>0</v>
      </c>
      <c r="F58" s="56" t="s">
        <v>135</v>
      </c>
      <c r="H58" s="55" t="str">
        <f ca="1">IFERROR(VLOOKUP(ROWS($H$3:H58),E:F,2,0),"")</f>
        <v/>
      </c>
    </row>
    <row r="59" spans="1:8" x14ac:dyDescent="0.25">
      <c r="A59" s="54">
        <v>1010303001</v>
      </c>
      <c r="B59" s="54">
        <v>10103030</v>
      </c>
      <c r="C59" s="54">
        <f>RIGHT(Table1[[#This Row],[UACS]],2)*1</f>
        <v>1</v>
      </c>
      <c r="D59" s="54">
        <v>10103030</v>
      </c>
      <c r="E59" s="54">
        <f ca="1">IF(ISNUMBER(SEARCH($I$1,F59)),MAX($E$2:E58)+1,0)</f>
        <v>0</v>
      </c>
      <c r="F59" s="56" t="s">
        <v>136</v>
      </c>
      <c r="H59" s="55" t="str">
        <f ca="1">IFERROR(VLOOKUP(ROWS($H$3:H59),E:F,2,0),"")</f>
        <v/>
      </c>
    </row>
    <row r="60" spans="1:8" x14ac:dyDescent="0.25">
      <c r="A60" s="54">
        <v>1010303002</v>
      </c>
      <c r="B60" s="54">
        <v>10103030</v>
      </c>
      <c r="C60" s="54">
        <f>RIGHT(Table1[[#This Row],[UACS]],2)*1</f>
        <v>2</v>
      </c>
      <c r="D60" s="54">
        <v>10103030</v>
      </c>
      <c r="E60" s="54">
        <f ca="1">IF(ISNUMBER(SEARCH($I$1,F60)),MAX($E$2:E59)+1,0)</f>
        <v>0</v>
      </c>
      <c r="F60" s="56" t="s">
        <v>137</v>
      </c>
      <c r="H60" s="55" t="str">
        <f ca="1">IFERROR(VLOOKUP(ROWS($H$3:H60),E:F,2,0),"")</f>
        <v/>
      </c>
    </row>
    <row r="61" spans="1:8" x14ac:dyDescent="0.25">
      <c r="A61" s="54">
        <v>1010303003</v>
      </c>
      <c r="B61" s="54">
        <v>10103030</v>
      </c>
      <c r="C61" s="54">
        <f>RIGHT(Table1[[#This Row],[UACS]],2)*1</f>
        <v>3</v>
      </c>
      <c r="D61" s="54">
        <v>10103030</v>
      </c>
      <c r="E61" s="54">
        <f ca="1">IF(ISNUMBER(SEARCH($I$1,F61)),MAX($E$2:E60)+1,0)</f>
        <v>0</v>
      </c>
      <c r="F61" s="56" t="s">
        <v>138</v>
      </c>
      <c r="H61" s="55" t="str">
        <f ca="1">IFERROR(VLOOKUP(ROWS($H$3:H61),E:F,2,0),"")</f>
        <v/>
      </c>
    </row>
    <row r="62" spans="1:8" x14ac:dyDescent="0.25">
      <c r="A62" s="54">
        <v>1010303004</v>
      </c>
      <c r="B62" s="54">
        <v>10103030</v>
      </c>
      <c r="C62" s="54">
        <f>RIGHT(Table1[[#This Row],[UACS]],2)*1</f>
        <v>4</v>
      </c>
      <c r="D62" s="54">
        <v>10103030</v>
      </c>
      <c r="E62" s="54">
        <f ca="1">IF(ISNUMBER(SEARCH($I$1,F62)),MAX($E$2:E61)+1,0)</f>
        <v>0</v>
      </c>
      <c r="F62" s="56" t="s">
        <v>139</v>
      </c>
      <c r="H62" s="55" t="str">
        <f ca="1">IFERROR(VLOOKUP(ROWS($H$3:H62),E:F,2,0),"")</f>
        <v/>
      </c>
    </row>
    <row r="63" spans="1:8" x14ac:dyDescent="0.25">
      <c r="A63" s="54">
        <v>1010304001</v>
      </c>
      <c r="B63" s="54">
        <v>10103040</v>
      </c>
      <c r="C63" s="54">
        <f>RIGHT(Table1[[#This Row],[UACS]],2)*1</f>
        <v>1</v>
      </c>
      <c r="D63" s="54">
        <v>10103040</v>
      </c>
      <c r="E63" s="54">
        <f ca="1">IF(ISNUMBER(SEARCH($I$1,F63)),MAX($E$2:E62)+1,0)</f>
        <v>0</v>
      </c>
      <c r="F63" s="56" t="s">
        <v>140</v>
      </c>
      <c r="H63" s="55" t="str">
        <f ca="1">IFERROR(VLOOKUP(ROWS($H$3:H63),E:F,2,0),"")</f>
        <v/>
      </c>
    </row>
    <row r="64" spans="1:8" x14ac:dyDescent="0.25">
      <c r="A64" s="54">
        <v>1010304002</v>
      </c>
      <c r="B64" s="54">
        <v>10103040</v>
      </c>
      <c r="C64" s="54">
        <f>RIGHT(Table1[[#This Row],[UACS]],2)*1</f>
        <v>2</v>
      </c>
      <c r="D64" s="54">
        <v>10103040</v>
      </c>
      <c r="E64" s="54">
        <f ca="1">IF(ISNUMBER(SEARCH($I$1,F64)),MAX($E$2:E63)+1,0)</f>
        <v>0</v>
      </c>
      <c r="F64" s="56" t="s">
        <v>141</v>
      </c>
      <c r="H64" s="55" t="str">
        <f ca="1">IFERROR(VLOOKUP(ROWS($H$3:H64),E:F,2,0),"")</f>
        <v/>
      </c>
    </row>
    <row r="65" spans="1:8" x14ac:dyDescent="0.25">
      <c r="A65" s="54">
        <v>1010304003</v>
      </c>
      <c r="B65" s="54">
        <v>10103040</v>
      </c>
      <c r="C65" s="54">
        <f>RIGHT(Table1[[#This Row],[UACS]],2)*1</f>
        <v>3</v>
      </c>
      <c r="D65" s="54">
        <v>10103040</v>
      </c>
      <c r="E65" s="54">
        <f ca="1">IF(ISNUMBER(SEARCH($I$1,F65)),MAX($E$2:E64)+1,0)</f>
        <v>0</v>
      </c>
      <c r="F65" s="56" t="s">
        <v>142</v>
      </c>
      <c r="H65" s="55" t="str">
        <f ca="1">IFERROR(VLOOKUP(ROWS($H$3:H65),E:F,2,0),"")</f>
        <v/>
      </c>
    </row>
    <row r="66" spans="1:8" x14ac:dyDescent="0.25">
      <c r="A66" s="54">
        <v>1010304004</v>
      </c>
      <c r="B66" s="54">
        <v>10103040</v>
      </c>
      <c r="C66" s="54">
        <f>RIGHT(Table1[[#This Row],[UACS]],2)*1</f>
        <v>4</v>
      </c>
      <c r="D66" s="54">
        <v>10103040</v>
      </c>
      <c r="E66" s="54">
        <f ca="1">IF(ISNUMBER(SEARCH($I$1,F66)),MAX($E$2:E65)+1,0)</f>
        <v>0</v>
      </c>
      <c r="F66" s="56" t="s">
        <v>143</v>
      </c>
      <c r="H66" s="55" t="str">
        <f ca="1">IFERROR(VLOOKUP(ROWS($H$3:H66),E:F,2,0),"")</f>
        <v/>
      </c>
    </row>
    <row r="67" spans="1:8" x14ac:dyDescent="0.25">
      <c r="A67" s="54">
        <v>1010401000</v>
      </c>
      <c r="B67" s="54">
        <v>10104010</v>
      </c>
      <c r="C67" s="54">
        <f>RIGHT(Table1[[#This Row],[UACS]],2)*1</f>
        <v>0</v>
      </c>
      <c r="D67" s="54">
        <v>10104010</v>
      </c>
      <c r="E67" s="54">
        <f ca="1">IF(ISNUMBER(SEARCH($I$1,F67)),MAX($E$2:E66)+1,0)</f>
        <v>0</v>
      </c>
      <c r="F67" s="56" t="s">
        <v>144</v>
      </c>
      <c r="H67" s="55" t="str">
        <f ca="1">IFERROR(VLOOKUP(ROWS($H$3:H67),E:F,2,0),"")</f>
        <v/>
      </c>
    </row>
    <row r="68" spans="1:8" x14ac:dyDescent="0.25">
      <c r="A68" s="54">
        <v>1010402000</v>
      </c>
      <c r="B68" s="54">
        <v>10104020</v>
      </c>
      <c r="C68" s="54">
        <f>RIGHT(Table1[[#This Row],[UACS]],2)*1</f>
        <v>0</v>
      </c>
      <c r="D68" s="54">
        <v>10104020</v>
      </c>
      <c r="E68" s="54">
        <f ca="1">IF(ISNUMBER(SEARCH($I$1,F68)),MAX($E$2:E67)+1,0)</f>
        <v>0</v>
      </c>
      <c r="F68" s="56" t="s">
        <v>145</v>
      </c>
      <c r="H68" s="55" t="str">
        <f ca="1">IFERROR(VLOOKUP(ROWS($H$3:H68),E:F,2,0),"")</f>
        <v/>
      </c>
    </row>
    <row r="69" spans="1:8" x14ac:dyDescent="0.25">
      <c r="A69" s="54">
        <v>1010403000</v>
      </c>
      <c r="B69" s="54">
        <v>10104030</v>
      </c>
      <c r="C69" s="54">
        <f>RIGHT(Table1[[#This Row],[UACS]],2)*1</f>
        <v>0</v>
      </c>
      <c r="D69" s="54">
        <v>10104030</v>
      </c>
      <c r="E69" s="54">
        <f ca="1">IF(ISNUMBER(SEARCH($I$1,F69)),MAX($E$2:E68)+1,0)</f>
        <v>0</v>
      </c>
      <c r="F69" s="56" t="s">
        <v>146</v>
      </c>
      <c r="H69" s="55" t="str">
        <f ca="1">IFERROR(VLOOKUP(ROWS($H$3:H69),E:F,2,0),"")</f>
        <v/>
      </c>
    </row>
    <row r="70" spans="1:8" x14ac:dyDescent="0.25">
      <c r="A70" s="54">
        <v>1010404000</v>
      </c>
      <c r="B70" s="54">
        <v>10104040</v>
      </c>
      <c r="C70" s="54">
        <f>RIGHT(Table1[[#This Row],[UACS]],2)*1</f>
        <v>0</v>
      </c>
      <c r="D70" s="54">
        <v>10104040</v>
      </c>
      <c r="E70" s="54">
        <f ca="1">IF(ISNUMBER(SEARCH($I$1,F70)),MAX($E$2:E69)+1,0)</f>
        <v>0</v>
      </c>
      <c r="F70" s="56" t="s">
        <v>55</v>
      </c>
      <c r="H70" s="55" t="str">
        <f ca="1">IFERROR(VLOOKUP(ROWS($H$3:H70),E:F,2,0),"")</f>
        <v/>
      </c>
    </row>
    <row r="71" spans="1:8" x14ac:dyDescent="0.25">
      <c r="A71" s="54">
        <v>1010405000</v>
      </c>
      <c r="B71" s="54">
        <v>10104050</v>
      </c>
      <c r="C71" s="54">
        <f>RIGHT(Table1[[#This Row],[UACS]],2)*1</f>
        <v>0</v>
      </c>
      <c r="D71" s="54">
        <v>10104050</v>
      </c>
      <c r="E71" s="54">
        <f ca="1">IF(ISNUMBER(SEARCH($I$1,F71)),MAX($E$2:E70)+1,0)</f>
        <v>0</v>
      </c>
      <c r="F71" s="56" t="s">
        <v>147</v>
      </c>
      <c r="H71" s="55" t="str">
        <f ca="1">IFERROR(VLOOKUP(ROWS($H$3:H71),E:F,2,0),"")</f>
        <v/>
      </c>
    </row>
    <row r="72" spans="1:8" x14ac:dyDescent="0.25">
      <c r="A72" s="54">
        <v>1010406000</v>
      </c>
      <c r="B72" s="54">
        <v>10104060</v>
      </c>
      <c r="C72" s="54">
        <f>RIGHT(Table1[[#This Row],[UACS]],2)*1</f>
        <v>0</v>
      </c>
      <c r="D72" s="54">
        <v>10104060</v>
      </c>
      <c r="E72" s="54">
        <f ca="1">IF(ISNUMBER(SEARCH($I$1,F72)),MAX($E$2:E71)+1,0)</f>
        <v>0</v>
      </c>
      <c r="F72" s="56" t="s">
        <v>148</v>
      </c>
      <c r="H72" s="55" t="str">
        <f ca="1">IFERROR(VLOOKUP(ROWS($H$3:H72),E:F,2,0),"")</f>
        <v/>
      </c>
    </row>
    <row r="73" spans="1:8" x14ac:dyDescent="0.25">
      <c r="A73" s="54">
        <v>1010407000</v>
      </c>
      <c r="B73" s="54">
        <v>10104070</v>
      </c>
      <c r="C73" s="54">
        <f>RIGHT(Table1[[#This Row],[UACS]],2)*1</f>
        <v>0</v>
      </c>
      <c r="D73" s="54">
        <v>10104070</v>
      </c>
      <c r="E73" s="54">
        <f ca="1">IF(ISNUMBER(SEARCH($I$1,F73)),MAX($E$2:E72)+1,0)</f>
        <v>0</v>
      </c>
      <c r="F73" s="56" t="s">
        <v>149</v>
      </c>
      <c r="H73" s="55" t="str">
        <f ca="1">IFERROR(VLOOKUP(ROWS($H$3:H73),E:F,2,0),"")</f>
        <v/>
      </c>
    </row>
    <row r="74" spans="1:8" x14ac:dyDescent="0.25">
      <c r="A74" s="54">
        <v>1010408000</v>
      </c>
      <c r="B74" s="54">
        <v>10104080</v>
      </c>
      <c r="C74" s="54">
        <f>RIGHT(Table1[[#This Row],[UACS]],2)*1</f>
        <v>0</v>
      </c>
      <c r="D74" s="54">
        <v>10104080</v>
      </c>
      <c r="E74" s="54">
        <f ca="1">IF(ISNUMBER(SEARCH($I$1,F74)),MAX($E$2:E73)+1,0)</f>
        <v>0</v>
      </c>
      <c r="F74" s="56" t="s">
        <v>150</v>
      </c>
      <c r="H74" s="55" t="str">
        <f ca="1">IFERROR(VLOOKUP(ROWS($H$3:H74),E:F,2,0),"")</f>
        <v/>
      </c>
    </row>
    <row r="75" spans="1:8" x14ac:dyDescent="0.25">
      <c r="A75" s="54">
        <v>1010501000</v>
      </c>
      <c r="B75" s="54">
        <v>10105010</v>
      </c>
      <c r="C75" s="54">
        <f>RIGHT(Table1[[#This Row],[UACS]],2)*1</f>
        <v>0</v>
      </c>
      <c r="D75" s="54">
        <v>10105010</v>
      </c>
      <c r="E75" s="54">
        <f ca="1">IF(ISNUMBER(SEARCH($I$1,F75)),MAX($E$2:E74)+1,0)</f>
        <v>0</v>
      </c>
      <c r="F75" s="56" t="s">
        <v>151</v>
      </c>
      <c r="H75" s="55" t="str">
        <f ca="1">IFERROR(VLOOKUP(ROWS($H$3:H75),E:F,2,0),"")</f>
        <v/>
      </c>
    </row>
    <row r="76" spans="1:8" x14ac:dyDescent="0.25">
      <c r="A76" s="54">
        <v>1020101000</v>
      </c>
      <c r="B76" s="54">
        <v>10201010</v>
      </c>
      <c r="C76" s="54">
        <f>RIGHT(Table1[[#This Row],[UACS]],2)*1</f>
        <v>0</v>
      </c>
      <c r="D76" s="54">
        <v>10201010</v>
      </c>
      <c r="E76" s="54">
        <f ca="1">IF(ISNUMBER(SEARCH($I$1,F76)),MAX($E$2:E75)+1,0)</f>
        <v>0</v>
      </c>
      <c r="F76" s="56" t="s">
        <v>152</v>
      </c>
      <c r="H76" s="55" t="str">
        <f ca="1">IFERROR(VLOOKUP(ROWS($H$3:H76),E:F,2,0),"")</f>
        <v/>
      </c>
    </row>
    <row r="77" spans="1:8" x14ac:dyDescent="0.25">
      <c r="A77" s="54">
        <v>1020102000</v>
      </c>
      <c r="B77" s="54">
        <v>10201020</v>
      </c>
      <c r="C77" s="54">
        <f>RIGHT(Table1[[#This Row],[UACS]],2)*1</f>
        <v>0</v>
      </c>
      <c r="D77" s="54">
        <v>10201020</v>
      </c>
      <c r="E77" s="54">
        <f ca="1">IF(ISNUMBER(SEARCH($I$1,F77)),MAX($E$2:E76)+1,0)</f>
        <v>0</v>
      </c>
      <c r="F77" s="56" t="s">
        <v>153</v>
      </c>
      <c r="H77" s="55" t="str">
        <f ca="1">IFERROR(VLOOKUP(ROWS($H$3:H77),E:F,2,0),"")</f>
        <v/>
      </c>
    </row>
    <row r="78" spans="1:8" x14ac:dyDescent="0.25">
      <c r="A78" s="54">
        <v>1020103000</v>
      </c>
      <c r="B78" s="54">
        <v>10201030</v>
      </c>
      <c r="C78" s="54">
        <f>RIGHT(Table1[[#This Row],[UACS]],2)*1</f>
        <v>0</v>
      </c>
      <c r="D78" s="54">
        <v>10201030</v>
      </c>
      <c r="E78" s="54">
        <f ca="1">IF(ISNUMBER(SEARCH($I$1,F78)),MAX($E$2:E77)+1,0)</f>
        <v>0</v>
      </c>
      <c r="F78" s="56" t="s">
        <v>154</v>
      </c>
      <c r="H78" s="55" t="str">
        <f ca="1">IFERROR(VLOOKUP(ROWS($H$3:H78),E:F,2,0),"")</f>
        <v/>
      </c>
    </row>
    <row r="79" spans="1:8" x14ac:dyDescent="0.25">
      <c r="A79" s="54">
        <v>1020104000</v>
      </c>
      <c r="B79" s="54">
        <v>10201040</v>
      </c>
      <c r="C79" s="54">
        <f>RIGHT(Table1[[#This Row],[UACS]],2)*1</f>
        <v>0</v>
      </c>
      <c r="D79" s="54">
        <v>10201040</v>
      </c>
      <c r="E79" s="54">
        <f ca="1">IF(ISNUMBER(SEARCH($I$1,F79)),MAX($E$2:E78)+1,0)</f>
        <v>0</v>
      </c>
      <c r="F79" s="56" t="s">
        <v>155</v>
      </c>
      <c r="H79" s="55" t="str">
        <f ca="1">IFERROR(VLOOKUP(ROWS($H$3:H79),E:F,2,0),"")</f>
        <v/>
      </c>
    </row>
    <row r="80" spans="1:8" x14ac:dyDescent="0.25">
      <c r="A80" s="54">
        <v>1020201000</v>
      </c>
      <c r="B80" s="54">
        <v>10202010</v>
      </c>
      <c r="C80" s="54">
        <f>RIGHT(Table1[[#This Row],[UACS]],2)*1</f>
        <v>0</v>
      </c>
      <c r="D80" s="54">
        <v>10202010</v>
      </c>
      <c r="E80" s="54">
        <f ca="1">IF(ISNUMBER(SEARCH($I$1,F80)),MAX($E$2:E79)+1,0)</f>
        <v>0</v>
      </c>
      <c r="F80" s="56" t="s">
        <v>156</v>
      </c>
      <c r="H80" s="55" t="str">
        <f ca="1">IFERROR(VLOOKUP(ROWS($H$3:H80),E:F,2,0),"")</f>
        <v/>
      </c>
    </row>
    <row r="81" spans="1:8" x14ac:dyDescent="0.25">
      <c r="A81" s="54">
        <v>1020201100</v>
      </c>
      <c r="B81" s="54">
        <v>10202011</v>
      </c>
      <c r="C81" s="54">
        <f>RIGHT(Table1[[#This Row],[UACS]],2)*1</f>
        <v>0</v>
      </c>
      <c r="D81" s="54">
        <v>10202011</v>
      </c>
      <c r="E81" s="54">
        <f ca="1">IF(ISNUMBER(SEARCH($I$1,F81)),MAX($E$2:E80)+1,0)</f>
        <v>0</v>
      </c>
      <c r="F81" s="56" t="s">
        <v>157</v>
      </c>
      <c r="H81" s="55" t="str">
        <f ca="1">IFERROR(VLOOKUP(ROWS($H$3:H81),E:F,2,0),"")</f>
        <v/>
      </c>
    </row>
    <row r="82" spans="1:8" x14ac:dyDescent="0.25">
      <c r="A82" s="54">
        <v>1020202000</v>
      </c>
      <c r="B82" s="54">
        <v>10202020</v>
      </c>
      <c r="C82" s="54">
        <f>RIGHT(Table1[[#This Row],[UACS]],2)*1</f>
        <v>0</v>
      </c>
      <c r="D82" s="54">
        <v>10202020</v>
      </c>
      <c r="E82" s="54">
        <f ca="1">IF(ISNUMBER(SEARCH($I$1,F82)),MAX($E$2:E81)+1,0)</f>
        <v>0</v>
      </c>
      <c r="F82" s="56" t="s">
        <v>158</v>
      </c>
      <c r="H82" s="55" t="str">
        <f ca="1">IFERROR(VLOOKUP(ROWS($H$3:H82),E:F,2,0),"")</f>
        <v/>
      </c>
    </row>
    <row r="83" spans="1:8" x14ac:dyDescent="0.25">
      <c r="A83" s="54">
        <v>1020202100</v>
      </c>
      <c r="B83" s="54">
        <v>10202021</v>
      </c>
      <c r="C83" s="54">
        <f>RIGHT(Table1[[#This Row],[UACS]],2)*1</f>
        <v>0</v>
      </c>
      <c r="D83" s="54">
        <v>10202021</v>
      </c>
      <c r="E83" s="54">
        <f ca="1">IF(ISNUMBER(SEARCH($I$1,F83)),MAX($E$2:E82)+1,0)</f>
        <v>0</v>
      </c>
      <c r="F83" s="56" t="s">
        <v>159</v>
      </c>
      <c r="H83" s="55" t="str">
        <f ca="1">IFERROR(VLOOKUP(ROWS($H$3:H83),E:F,2,0),"")</f>
        <v/>
      </c>
    </row>
    <row r="84" spans="1:8" x14ac:dyDescent="0.25">
      <c r="A84" s="54">
        <v>1020203000</v>
      </c>
      <c r="B84" s="54">
        <v>10202030</v>
      </c>
      <c r="C84" s="54">
        <f>RIGHT(Table1[[#This Row],[UACS]],2)*1</f>
        <v>0</v>
      </c>
      <c r="D84" s="54">
        <v>10202030</v>
      </c>
      <c r="E84" s="54">
        <f ca="1">IF(ISNUMBER(SEARCH($I$1,F84)),MAX($E$2:E83)+1,0)</f>
        <v>0</v>
      </c>
      <c r="F84" s="56" t="s">
        <v>160</v>
      </c>
      <c r="H84" s="55" t="str">
        <f ca="1">IFERROR(VLOOKUP(ROWS($H$3:H84),E:F,2,0),"")</f>
        <v/>
      </c>
    </row>
    <row r="85" spans="1:8" x14ac:dyDescent="0.25">
      <c r="A85" s="54">
        <v>1020203100</v>
      </c>
      <c r="B85" s="54">
        <v>10202031</v>
      </c>
      <c r="C85" s="54">
        <f>RIGHT(Table1[[#This Row],[UACS]],2)*1</f>
        <v>0</v>
      </c>
      <c r="D85" s="54">
        <v>10202031</v>
      </c>
      <c r="E85" s="54">
        <f ca="1">IF(ISNUMBER(SEARCH($I$1,F85)),MAX($E$2:E84)+1,0)</f>
        <v>0</v>
      </c>
      <c r="F85" s="56" t="s">
        <v>161</v>
      </c>
      <c r="H85" s="55" t="str">
        <f ca="1">IFERROR(VLOOKUP(ROWS($H$3:H85),E:F,2,0),"")</f>
        <v/>
      </c>
    </row>
    <row r="86" spans="1:8" x14ac:dyDescent="0.25">
      <c r="A86" s="54">
        <v>1020204000</v>
      </c>
      <c r="B86" s="54">
        <v>10202040</v>
      </c>
      <c r="C86" s="54">
        <f>RIGHT(Table1[[#This Row],[UACS]],2)*1</f>
        <v>0</v>
      </c>
      <c r="D86" s="54">
        <v>10202040</v>
      </c>
      <c r="E86" s="54">
        <f ca="1">IF(ISNUMBER(SEARCH($I$1,F86)),MAX($E$2:E85)+1,0)</f>
        <v>0</v>
      </c>
      <c r="F86" s="56" t="s">
        <v>162</v>
      </c>
      <c r="H86" s="55" t="str">
        <f ca="1">IFERROR(VLOOKUP(ROWS($H$3:H86),E:F,2,0),"")</f>
        <v/>
      </c>
    </row>
    <row r="87" spans="1:8" x14ac:dyDescent="0.25">
      <c r="A87" s="54">
        <v>1020204100</v>
      </c>
      <c r="B87" s="54">
        <v>10202041</v>
      </c>
      <c r="C87" s="54">
        <f>RIGHT(Table1[[#This Row],[UACS]],2)*1</f>
        <v>0</v>
      </c>
      <c r="D87" s="54">
        <v>10202041</v>
      </c>
      <c r="E87" s="54">
        <f ca="1">IF(ISNUMBER(SEARCH($I$1,F87)),MAX($E$2:E86)+1,0)</f>
        <v>0</v>
      </c>
      <c r="F87" s="56" t="s">
        <v>163</v>
      </c>
      <c r="H87" s="55" t="str">
        <f ca="1">IFERROR(VLOOKUP(ROWS($H$3:H87),E:F,2,0),"")</f>
        <v/>
      </c>
    </row>
    <row r="88" spans="1:8" x14ac:dyDescent="0.25">
      <c r="A88" s="54">
        <v>1020301000</v>
      </c>
      <c r="B88" s="54">
        <v>10203010</v>
      </c>
      <c r="C88" s="54">
        <f>RIGHT(Table1[[#This Row],[UACS]],2)*1</f>
        <v>0</v>
      </c>
      <c r="D88" s="54">
        <v>10203010</v>
      </c>
      <c r="E88" s="54">
        <f ca="1">IF(ISNUMBER(SEARCH($I$1,F88)),MAX($E$2:E87)+1,0)</f>
        <v>0</v>
      </c>
      <c r="F88" s="56" t="s">
        <v>164</v>
      </c>
      <c r="H88" s="55" t="str">
        <f ca="1">IFERROR(VLOOKUP(ROWS($H$3:H88),E:F,2,0),"")</f>
        <v/>
      </c>
    </row>
    <row r="89" spans="1:8" x14ac:dyDescent="0.25">
      <c r="A89" s="54">
        <v>1020302000</v>
      </c>
      <c r="B89" s="54">
        <v>10203020</v>
      </c>
      <c r="C89" s="54">
        <f>RIGHT(Table1[[#This Row],[UACS]],2)*1</f>
        <v>0</v>
      </c>
      <c r="D89" s="54">
        <v>10203020</v>
      </c>
      <c r="E89" s="54">
        <f ca="1">IF(ISNUMBER(SEARCH($I$1,F89)),MAX($E$2:E88)+1,0)</f>
        <v>0</v>
      </c>
      <c r="F89" s="56" t="s">
        <v>165</v>
      </c>
      <c r="H89" s="55" t="str">
        <f ca="1">IFERROR(VLOOKUP(ROWS($H$3:H89),E:F,2,0),"")</f>
        <v/>
      </c>
    </row>
    <row r="90" spans="1:8" x14ac:dyDescent="0.25">
      <c r="A90" s="54">
        <v>1020399000</v>
      </c>
      <c r="B90" s="54">
        <v>10203990</v>
      </c>
      <c r="C90" s="54">
        <f>RIGHT(Table1[[#This Row],[UACS]],2)*1</f>
        <v>0</v>
      </c>
      <c r="D90" s="54">
        <v>10203990</v>
      </c>
      <c r="E90" s="54">
        <f ca="1">IF(ISNUMBER(SEARCH($I$1,F90)),MAX($E$2:E89)+1,0)</f>
        <v>0</v>
      </c>
      <c r="F90" s="56" t="s">
        <v>166</v>
      </c>
      <c r="H90" s="55" t="str">
        <f ca="1">IFERROR(VLOOKUP(ROWS($H$3:H90),E:F,2,0),"")</f>
        <v/>
      </c>
    </row>
    <row r="91" spans="1:8" x14ac:dyDescent="0.25">
      <c r="A91" s="54">
        <v>1020401000</v>
      </c>
      <c r="B91" s="54">
        <v>10204010</v>
      </c>
      <c r="C91" s="54">
        <f>RIGHT(Table1[[#This Row],[UACS]],2)*1</f>
        <v>0</v>
      </c>
      <c r="D91" s="54">
        <v>10204010</v>
      </c>
      <c r="E91" s="54">
        <f ca="1">IF(ISNUMBER(SEARCH($I$1,F91)),MAX($E$2:E90)+1,0)</f>
        <v>0</v>
      </c>
      <c r="F91" s="56" t="s">
        <v>167</v>
      </c>
      <c r="H91" s="55" t="str">
        <f ca="1">IFERROR(VLOOKUP(ROWS($H$3:H91),E:F,2,0),"")</f>
        <v/>
      </c>
    </row>
    <row r="92" spans="1:8" x14ac:dyDescent="0.25">
      <c r="A92" s="54">
        <v>1020401100</v>
      </c>
      <c r="B92" s="54">
        <v>10204011</v>
      </c>
      <c r="C92" s="54">
        <f>RIGHT(Table1[[#This Row],[UACS]],2)*1</f>
        <v>0</v>
      </c>
      <c r="D92" s="54">
        <v>10204011</v>
      </c>
      <c r="E92" s="54">
        <f ca="1">IF(ISNUMBER(SEARCH($I$1,F92)),MAX($E$2:E91)+1,0)</f>
        <v>0</v>
      </c>
      <c r="F92" s="56" t="s">
        <v>168</v>
      </c>
      <c r="H92" s="55" t="str">
        <f ca="1">IFERROR(VLOOKUP(ROWS($H$3:H92),E:F,2,0),"")</f>
        <v/>
      </c>
    </row>
    <row r="93" spans="1:8" x14ac:dyDescent="0.25">
      <c r="A93" s="54">
        <v>1020501000</v>
      </c>
      <c r="B93" s="54">
        <v>10205010</v>
      </c>
      <c r="C93" s="54">
        <f>RIGHT(Table1[[#This Row],[UACS]],2)*1</f>
        <v>0</v>
      </c>
      <c r="D93" s="54">
        <v>10205010</v>
      </c>
      <c r="E93" s="54">
        <f ca="1">IF(ISNUMBER(SEARCH($I$1,F93)),MAX($E$2:E92)+1,0)</f>
        <v>0</v>
      </c>
      <c r="F93" s="56" t="s">
        <v>169</v>
      </c>
      <c r="H93" s="55" t="str">
        <f ca="1">IFERROR(VLOOKUP(ROWS($H$3:H93),E:F,2,0),"")</f>
        <v/>
      </c>
    </row>
    <row r="94" spans="1:8" x14ac:dyDescent="0.25">
      <c r="A94" s="54">
        <v>1020501100</v>
      </c>
      <c r="B94" s="54">
        <v>10205011</v>
      </c>
      <c r="C94" s="54">
        <f>RIGHT(Table1[[#This Row],[UACS]],2)*1</f>
        <v>0</v>
      </c>
      <c r="D94" s="54">
        <v>10205011</v>
      </c>
      <c r="E94" s="54">
        <f ca="1">IF(ISNUMBER(SEARCH($I$1,F94)),MAX($E$2:E93)+1,0)</f>
        <v>0</v>
      </c>
      <c r="F94" s="56" t="s">
        <v>170</v>
      </c>
      <c r="H94" s="55" t="str">
        <f ca="1">IFERROR(VLOOKUP(ROWS($H$3:H94),E:F,2,0),"")</f>
        <v/>
      </c>
    </row>
    <row r="95" spans="1:8" x14ac:dyDescent="0.25">
      <c r="A95" s="54">
        <v>1020601000</v>
      </c>
      <c r="B95" s="54">
        <v>10206010</v>
      </c>
      <c r="C95" s="54">
        <f>RIGHT(Table1[[#This Row],[UACS]],2)*1</f>
        <v>0</v>
      </c>
      <c r="D95" s="54">
        <v>10206010</v>
      </c>
      <c r="E95" s="54">
        <f ca="1">IF(ISNUMBER(SEARCH($I$1,F95)),MAX($E$2:E94)+1,0)</f>
        <v>0</v>
      </c>
      <c r="F95" s="56" t="s">
        <v>171</v>
      </c>
      <c r="H95" s="55" t="str">
        <f ca="1">IFERROR(VLOOKUP(ROWS($H$3:H95),E:F,2,0),"")</f>
        <v/>
      </c>
    </row>
    <row r="96" spans="1:8" x14ac:dyDescent="0.25">
      <c r="A96" s="54">
        <v>1020601100</v>
      </c>
      <c r="B96" s="54">
        <v>10206011</v>
      </c>
      <c r="C96" s="54">
        <f>RIGHT(Table1[[#This Row],[UACS]],2)*1</f>
        <v>0</v>
      </c>
      <c r="D96" s="54">
        <v>10206011</v>
      </c>
      <c r="E96" s="54">
        <f ca="1">IF(ISNUMBER(SEARCH($I$1,F96)),MAX($E$2:E95)+1,0)</f>
        <v>0</v>
      </c>
      <c r="F96" s="56" t="s">
        <v>172</v>
      </c>
      <c r="H96" s="55" t="str">
        <f ca="1">IFERROR(VLOOKUP(ROWS($H$3:H96),E:F,2,0),"")</f>
        <v/>
      </c>
    </row>
    <row r="97" spans="1:8" x14ac:dyDescent="0.25">
      <c r="A97" s="54">
        <v>1020701000</v>
      </c>
      <c r="B97" s="54">
        <v>10207010</v>
      </c>
      <c r="C97" s="54">
        <f>RIGHT(Table1[[#This Row],[UACS]],2)*1</f>
        <v>0</v>
      </c>
      <c r="D97" s="54">
        <v>10207010</v>
      </c>
      <c r="E97" s="54">
        <f ca="1">IF(ISNUMBER(SEARCH($I$1,F97)),MAX($E$2:E96)+1,0)</f>
        <v>0</v>
      </c>
      <c r="F97" s="56" t="s">
        <v>173</v>
      </c>
      <c r="H97" s="55" t="str">
        <f ca="1">IFERROR(VLOOKUP(ROWS($H$3:H97),E:F,2,0),"")</f>
        <v/>
      </c>
    </row>
    <row r="98" spans="1:8" x14ac:dyDescent="0.25">
      <c r="A98" s="54">
        <v>1030101000</v>
      </c>
      <c r="B98" s="54">
        <v>10301010</v>
      </c>
      <c r="C98" s="54">
        <f>RIGHT(Table1[[#This Row],[UACS]],2)*1</f>
        <v>0</v>
      </c>
      <c r="D98" s="54">
        <v>10301010</v>
      </c>
      <c r="E98" s="54">
        <f ca="1">IF(ISNUMBER(SEARCH($I$1,F98)),MAX($E$2:E97)+1,0)</f>
        <v>0</v>
      </c>
      <c r="F98" s="56" t="s">
        <v>174</v>
      </c>
      <c r="H98" s="55" t="str">
        <f ca="1">IFERROR(VLOOKUP(ROWS($H$3:H98),E:F,2,0),"")</f>
        <v/>
      </c>
    </row>
    <row r="99" spans="1:8" x14ac:dyDescent="0.25">
      <c r="A99" s="54">
        <v>1030101100</v>
      </c>
      <c r="B99" s="54">
        <v>10301011</v>
      </c>
      <c r="C99" s="54">
        <f>RIGHT(Table1[[#This Row],[UACS]],2)*1</f>
        <v>0</v>
      </c>
      <c r="D99" s="54">
        <v>10301011</v>
      </c>
      <c r="E99" s="54">
        <f ca="1">IF(ISNUMBER(SEARCH($I$1,F99)),MAX($E$2:E98)+1,0)</f>
        <v>0</v>
      </c>
      <c r="F99" s="56" t="s">
        <v>175</v>
      </c>
      <c r="H99" s="55" t="str">
        <f ca="1">IFERROR(VLOOKUP(ROWS($H$3:H99),E:F,2,0),"")</f>
        <v/>
      </c>
    </row>
    <row r="100" spans="1:8" x14ac:dyDescent="0.25">
      <c r="A100" s="54">
        <v>1030102000</v>
      </c>
      <c r="B100" s="54">
        <v>10301020</v>
      </c>
      <c r="C100" s="54">
        <f>RIGHT(Table1[[#This Row],[UACS]],2)*1</f>
        <v>0</v>
      </c>
      <c r="D100" s="54">
        <v>10301020</v>
      </c>
      <c r="E100" s="54">
        <f ca="1">IF(ISNUMBER(SEARCH($I$1,F100)),MAX($E$2:E99)+1,0)</f>
        <v>0</v>
      </c>
      <c r="F100" s="56" t="s">
        <v>176</v>
      </c>
      <c r="H100" s="55" t="str">
        <f ca="1">IFERROR(VLOOKUP(ROWS($H$3:H100),E:F,2,0),"")</f>
        <v/>
      </c>
    </row>
    <row r="101" spans="1:8" x14ac:dyDescent="0.25">
      <c r="A101" s="54">
        <v>1030102100</v>
      </c>
      <c r="B101" s="54">
        <v>10301021</v>
      </c>
      <c r="C101" s="54">
        <f>RIGHT(Table1[[#This Row],[UACS]],2)*1</f>
        <v>0</v>
      </c>
      <c r="D101" s="54">
        <v>10301021</v>
      </c>
      <c r="E101" s="54">
        <f ca="1">IF(ISNUMBER(SEARCH($I$1,F101)),MAX($E$2:E100)+1,0)</f>
        <v>0</v>
      </c>
      <c r="F101" s="56" t="s">
        <v>177</v>
      </c>
      <c r="H101" s="55" t="str">
        <f ca="1">IFERROR(VLOOKUP(ROWS($H$3:H101),E:F,2,0),"")</f>
        <v/>
      </c>
    </row>
    <row r="102" spans="1:8" x14ac:dyDescent="0.25">
      <c r="A102" s="54">
        <v>1030103000</v>
      </c>
      <c r="B102" s="54">
        <v>10301030</v>
      </c>
      <c r="C102" s="54">
        <f>RIGHT(Table1[[#This Row],[UACS]],2)*1</f>
        <v>0</v>
      </c>
      <c r="D102" s="54">
        <v>10301030</v>
      </c>
      <c r="E102" s="54">
        <f ca="1">IF(ISNUMBER(SEARCH($I$1,F102)),MAX($E$2:E101)+1,0)</f>
        <v>0</v>
      </c>
      <c r="F102" s="56" t="s">
        <v>178</v>
      </c>
      <c r="H102" s="55" t="str">
        <f ca="1">IFERROR(VLOOKUP(ROWS($H$3:H102),E:F,2,0),"")</f>
        <v/>
      </c>
    </row>
    <row r="103" spans="1:8" x14ac:dyDescent="0.25">
      <c r="A103" s="54">
        <v>1030103100</v>
      </c>
      <c r="B103" s="54">
        <v>10301031</v>
      </c>
      <c r="C103" s="54">
        <f>RIGHT(Table1[[#This Row],[UACS]],2)*1</f>
        <v>0</v>
      </c>
      <c r="D103" s="54">
        <v>10301031</v>
      </c>
      <c r="E103" s="54">
        <f ca="1">IF(ISNUMBER(SEARCH($I$1,F103)),MAX($E$2:E102)+1,0)</f>
        <v>0</v>
      </c>
      <c r="F103" s="56" t="s">
        <v>179</v>
      </c>
      <c r="H103" s="55" t="str">
        <f ca="1">IFERROR(VLOOKUP(ROWS($H$3:H103),E:F,2,0),"")</f>
        <v/>
      </c>
    </row>
    <row r="104" spans="1:8" x14ac:dyDescent="0.25">
      <c r="A104" s="54">
        <v>1030104000</v>
      </c>
      <c r="B104" s="54">
        <v>10301040</v>
      </c>
      <c r="C104" s="54">
        <f>RIGHT(Table1[[#This Row],[UACS]],2)*1</f>
        <v>0</v>
      </c>
      <c r="D104" s="54">
        <v>10301040</v>
      </c>
      <c r="E104" s="54">
        <f ca="1">IF(ISNUMBER(SEARCH($I$1,F104)),MAX($E$2:E103)+1,0)</f>
        <v>0</v>
      </c>
      <c r="F104" s="56" t="s">
        <v>180</v>
      </c>
      <c r="H104" s="55" t="str">
        <f ca="1">IFERROR(VLOOKUP(ROWS($H$3:H104),E:F,2,0),"")</f>
        <v/>
      </c>
    </row>
    <row r="105" spans="1:8" x14ac:dyDescent="0.25">
      <c r="A105" s="54">
        <v>1030104100</v>
      </c>
      <c r="B105" s="54">
        <v>10301041</v>
      </c>
      <c r="C105" s="54">
        <f>RIGHT(Table1[[#This Row],[UACS]],2)*1</f>
        <v>0</v>
      </c>
      <c r="D105" s="54">
        <v>10301041</v>
      </c>
      <c r="E105" s="54">
        <f ca="1">IF(ISNUMBER(SEARCH($I$1,F105)),MAX($E$2:E104)+1,0)</f>
        <v>0</v>
      </c>
      <c r="F105" s="56" t="s">
        <v>181</v>
      </c>
      <c r="H105" s="55" t="str">
        <f ca="1">IFERROR(VLOOKUP(ROWS($H$3:H105),E:F,2,0),"")</f>
        <v/>
      </c>
    </row>
    <row r="106" spans="1:8" x14ac:dyDescent="0.25">
      <c r="A106" s="54">
        <v>1030105000</v>
      </c>
      <c r="B106" s="54">
        <v>10301050</v>
      </c>
      <c r="C106" s="54">
        <f>RIGHT(Table1[[#This Row],[UACS]],2)*1</f>
        <v>0</v>
      </c>
      <c r="D106" s="54">
        <v>10301050</v>
      </c>
      <c r="E106" s="54">
        <f ca="1">IF(ISNUMBER(SEARCH($I$1,F106)),MAX($E$2:E105)+1,0)</f>
        <v>0</v>
      </c>
      <c r="F106" s="56" t="s">
        <v>182</v>
      </c>
      <c r="H106" s="55" t="str">
        <f ca="1">IFERROR(VLOOKUP(ROWS($H$3:H106),E:F,2,0),"")</f>
        <v/>
      </c>
    </row>
    <row r="107" spans="1:8" x14ac:dyDescent="0.25">
      <c r="A107" s="54">
        <v>1030105100</v>
      </c>
      <c r="B107" s="54">
        <v>10301051</v>
      </c>
      <c r="C107" s="54">
        <f>RIGHT(Table1[[#This Row],[UACS]],2)*1</f>
        <v>0</v>
      </c>
      <c r="D107" s="54">
        <v>10301051</v>
      </c>
      <c r="E107" s="54">
        <f ca="1">IF(ISNUMBER(SEARCH($I$1,F107)),MAX($E$2:E106)+1,0)</f>
        <v>0</v>
      </c>
      <c r="F107" s="56" t="s">
        <v>183</v>
      </c>
      <c r="H107" s="55" t="str">
        <f ca="1">IFERROR(VLOOKUP(ROWS($H$3:H107),E:F,2,0),"")</f>
        <v/>
      </c>
    </row>
    <row r="108" spans="1:8" x14ac:dyDescent="0.25">
      <c r="A108" s="54">
        <v>1030106000</v>
      </c>
      <c r="B108" s="54">
        <v>10301060</v>
      </c>
      <c r="C108" s="54">
        <f>RIGHT(Table1[[#This Row],[UACS]],2)*1</f>
        <v>0</v>
      </c>
      <c r="D108" s="54">
        <v>10301060</v>
      </c>
      <c r="E108" s="54">
        <f ca="1">IF(ISNUMBER(SEARCH($I$1,F108)),MAX($E$2:E107)+1,0)</f>
        <v>0</v>
      </c>
      <c r="F108" s="56" t="s">
        <v>184</v>
      </c>
      <c r="H108" s="55" t="str">
        <f ca="1">IFERROR(VLOOKUP(ROWS($H$3:H108),E:F,2,0),"")</f>
        <v/>
      </c>
    </row>
    <row r="109" spans="1:8" x14ac:dyDescent="0.25">
      <c r="A109" s="54">
        <v>1030199000</v>
      </c>
      <c r="B109" s="54">
        <v>10301990</v>
      </c>
      <c r="C109" s="54">
        <f>RIGHT(Table1[[#This Row],[UACS]],2)*1</f>
        <v>0</v>
      </c>
      <c r="D109" s="54">
        <v>10301990</v>
      </c>
      <c r="E109" s="54">
        <f ca="1">IF(ISNUMBER(SEARCH($I$1,F109)),MAX($E$2:E108)+1,0)</f>
        <v>0</v>
      </c>
      <c r="F109" s="56" t="s">
        <v>185</v>
      </c>
      <c r="H109" s="55" t="str">
        <f ca="1">IFERROR(VLOOKUP(ROWS($H$3:H109),E:F,2,0),"")</f>
        <v/>
      </c>
    </row>
    <row r="110" spans="1:8" x14ac:dyDescent="0.25">
      <c r="A110" s="54">
        <v>1030199100</v>
      </c>
      <c r="B110" s="54">
        <v>10301991</v>
      </c>
      <c r="C110" s="54">
        <f>RIGHT(Table1[[#This Row],[UACS]],2)*1</f>
        <v>0</v>
      </c>
      <c r="D110" s="54">
        <v>10301991</v>
      </c>
      <c r="E110" s="54">
        <f ca="1">IF(ISNUMBER(SEARCH($I$1,F110)),MAX($E$2:E109)+1,0)</f>
        <v>0</v>
      </c>
      <c r="F110" s="56" t="s">
        <v>186</v>
      </c>
      <c r="H110" s="55" t="str">
        <f ca="1">IFERROR(VLOOKUP(ROWS($H$3:H110),E:F,2,0),"")</f>
        <v/>
      </c>
    </row>
    <row r="111" spans="1:8" x14ac:dyDescent="0.25">
      <c r="A111" s="54">
        <v>1030201000</v>
      </c>
      <c r="B111" s="54">
        <v>10302010</v>
      </c>
      <c r="C111" s="54">
        <f>RIGHT(Table1[[#This Row],[UACS]],2)*1</f>
        <v>0</v>
      </c>
      <c r="D111" s="54">
        <v>10302010</v>
      </c>
      <c r="E111" s="54">
        <f ca="1">IF(ISNUMBER(SEARCH($I$1,F111)),MAX($E$2:E110)+1,0)</f>
        <v>0</v>
      </c>
      <c r="F111" s="56" t="s">
        <v>187</v>
      </c>
      <c r="H111" s="55" t="str">
        <f ca="1">IFERROR(VLOOKUP(ROWS($H$3:H111),E:F,2,0),"")</f>
        <v/>
      </c>
    </row>
    <row r="112" spans="1:8" x14ac:dyDescent="0.25">
      <c r="A112" s="54">
        <v>1030201100</v>
      </c>
      <c r="B112" s="54">
        <v>10302011</v>
      </c>
      <c r="C112" s="54">
        <f>RIGHT(Table1[[#This Row],[UACS]],2)*1</f>
        <v>0</v>
      </c>
      <c r="D112" s="54">
        <v>10302011</v>
      </c>
      <c r="E112" s="54">
        <f ca="1">IF(ISNUMBER(SEARCH($I$1,F112)),MAX($E$2:E111)+1,0)</f>
        <v>0</v>
      </c>
      <c r="F112" s="56" t="s">
        <v>188</v>
      </c>
      <c r="H112" s="55" t="str">
        <f ca="1">IFERROR(VLOOKUP(ROWS($H$3:H112),E:F,2,0),"")</f>
        <v/>
      </c>
    </row>
    <row r="113" spans="1:8" x14ac:dyDescent="0.25">
      <c r="A113" s="54">
        <v>1030202000</v>
      </c>
      <c r="B113" s="54">
        <v>10302020</v>
      </c>
      <c r="C113" s="54">
        <f>RIGHT(Table1[[#This Row],[UACS]],2)*1</f>
        <v>0</v>
      </c>
      <c r="D113" s="54">
        <v>10302020</v>
      </c>
      <c r="E113" s="54">
        <f ca="1">IF(ISNUMBER(SEARCH($I$1,F113)),MAX($E$2:E112)+1,0)</f>
        <v>0</v>
      </c>
      <c r="F113" s="56" t="s">
        <v>189</v>
      </c>
      <c r="H113" s="55" t="str">
        <f ca="1">IFERROR(VLOOKUP(ROWS($H$3:H113),E:F,2,0),"")</f>
        <v/>
      </c>
    </row>
    <row r="114" spans="1:8" x14ac:dyDescent="0.25">
      <c r="A114" s="54">
        <v>1030202100</v>
      </c>
      <c r="B114" s="54">
        <v>10302021</v>
      </c>
      <c r="C114" s="54">
        <f>RIGHT(Table1[[#This Row],[UACS]],2)*1</f>
        <v>0</v>
      </c>
      <c r="D114" s="54">
        <v>10302021</v>
      </c>
      <c r="E114" s="54">
        <f ca="1">IF(ISNUMBER(SEARCH($I$1,F114)),MAX($E$2:E113)+1,0)</f>
        <v>0</v>
      </c>
      <c r="F114" s="56" t="s">
        <v>190</v>
      </c>
      <c r="H114" s="55" t="str">
        <f ca="1">IFERROR(VLOOKUP(ROWS($H$3:H114),E:F,2,0),"")</f>
        <v/>
      </c>
    </row>
    <row r="115" spans="1:8" x14ac:dyDescent="0.25">
      <c r="A115" s="54">
        <v>1030301000</v>
      </c>
      <c r="B115" s="54">
        <v>10303010</v>
      </c>
      <c r="C115" s="54">
        <f>RIGHT(Table1[[#This Row],[UACS]],2)*1</f>
        <v>0</v>
      </c>
      <c r="D115" s="54">
        <v>10303010</v>
      </c>
      <c r="E115" s="54">
        <f ca="1">IF(ISNUMBER(SEARCH($I$1,F115)),MAX($E$2:E114)+1,0)</f>
        <v>0</v>
      </c>
      <c r="F115" s="56" t="s">
        <v>191</v>
      </c>
      <c r="H115" s="55" t="str">
        <f ca="1">IFERROR(VLOOKUP(ROWS($H$3:H115),E:F,2,0),"")</f>
        <v/>
      </c>
    </row>
    <row r="116" spans="1:8" x14ac:dyDescent="0.25">
      <c r="A116" s="54">
        <v>1030302000</v>
      </c>
      <c r="B116" s="54">
        <v>10303020</v>
      </c>
      <c r="C116" s="54">
        <f>RIGHT(Table1[[#This Row],[UACS]],2)*1</f>
        <v>0</v>
      </c>
      <c r="D116" s="54">
        <v>10303020</v>
      </c>
      <c r="E116" s="54">
        <f ca="1">IF(ISNUMBER(SEARCH($I$1,F116)),MAX($E$2:E115)+1,0)</f>
        <v>0</v>
      </c>
      <c r="F116" s="56" t="s">
        <v>192</v>
      </c>
      <c r="H116" s="55" t="str">
        <f ca="1">IFERROR(VLOOKUP(ROWS($H$3:H116),E:F,2,0),"")</f>
        <v/>
      </c>
    </row>
    <row r="117" spans="1:8" x14ac:dyDescent="0.25">
      <c r="A117" s="54">
        <v>1030303000</v>
      </c>
      <c r="B117" s="54">
        <v>10303030</v>
      </c>
      <c r="C117" s="54">
        <f>RIGHT(Table1[[#This Row],[UACS]],2)*1</f>
        <v>0</v>
      </c>
      <c r="D117" s="54">
        <v>10303030</v>
      </c>
      <c r="E117" s="54">
        <f ca="1">IF(ISNUMBER(SEARCH($I$1,F117)),MAX($E$2:E116)+1,0)</f>
        <v>0</v>
      </c>
      <c r="F117" s="56" t="s">
        <v>193</v>
      </c>
      <c r="H117" s="55" t="str">
        <f ca="1">IFERROR(VLOOKUP(ROWS($H$3:H117),E:F,2,0),"")</f>
        <v/>
      </c>
    </row>
    <row r="118" spans="1:8" x14ac:dyDescent="0.25">
      <c r="A118" s="54">
        <v>1030304000</v>
      </c>
      <c r="B118" s="54">
        <v>10303040</v>
      </c>
      <c r="C118" s="54">
        <f>RIGHT(Table1[[#This Row],[UACS]],2)*1</f>
        <v>0</v>
      </c>
      <c r="D118" s="54">
        <v>10303040</v>
      </c>
      <c r="E118" s="54">
        <f ca="1">IF(ISNUMBER(SEARCH($I$1,F118)),MAX($E$2:E117)+1,0)</f>
        <v>0</v>
      </c>
      <c r="F118" s="56" t="s">
        <v>194</v>
      </c>
      <c r="H118" s="55" t="str">
        <f ca="1">IFERROR(VLOOKUP(ROWS($H$3:H118),E:F,2,0),"")</f>
        <v/>
      </c>
    </row>
    <row r="119" spans="1:8" x14ac:dyDescent="0.25">
      <c r="A119" s="54">
        <v>1030401000</v>
      </c>
      <c r="B119" s="54">
        <v>10304010</v>
      </c>
      <c r="C119" s="54">
        <f>RIGHT(Table1[[#This Row],[UACS]],2)*1</f>
        <v>0</v>
      </c>
      <c r="D119" s="54">
        <v>10304010</v>
      </c>
      <c r="E119" s="54">
        <f ca="1">IF(ISNUMBER(SEARCH($I$1,F119)),MAX($E$2:E118)+1,0)</f>
        <v>0</v>
      </c>
      <c r="F119" s="56" t="s">
        <v>195</v>
      </c>
      <c r="H119" s="55" t="str">
        <f ca="1">IFERROR(VLOOKUP(ROWS($H$3:H119),E:F,2,0),"")</f>
        <v/>
      </c>
    </row>
    <row r="120" spans="1:8" x14ac:dyDescent="0.25">
      <c r="A120" s="54">
        <v>1030402000</v>
      </c>
      <c r="B120" s="54">
        <v>10304020</v>
      </c>
      <c r="C120" s="54">
        <f>RIGHT(Table1[[#This Row],[UACS]],2)*1</f>
        <v>0</v>
      </c>
      <c r="D120" s="54">
        <v>10304020</v>
      </c>
      <c r="E120" s="54">
        <f ca="1">IF(ISNUMBER(SEARCH($I$1,F120)),MAX($E$2:E119)+1,0)</f>
        <v>0</v>
      </c>
      <c r="F120" s="56" t="s">
        <v>196</v>
      </c>
      <c r="H120" s="55" t="str">
        <f ca="1">IFERROR(VLOOKUP(ROWS($H$3:H120),E:F,2,0),"")</f>
        <v/>
      </c>
    </row>
    <row r="121" spans="1:8" x14ac:dyDescent="0.25">
      <c r="A121" s="54">
        <v>1030403000</v>
      </c>
      <c r="B121" s="54">
        <v>10304030</v>
      </c>
      <c r="C121" s="54">
        <f>RIGHT(Table1[[#This Row],[UACS]],2)*1</f>
        <v>0</v>
      </c>
      <c r="D121" s="54">
        <v>10304030</v>
      </c>
      <c r="E121" s="54">
        <f ca="1">IF(ISNUMBER(SEARCH($I$1,F121)),MAX($E$2:E120)+1,0)</f>
        <v>0</v>
      </c>
      <c r="F121" s="56" t="s">
        <v>197</v>
      </c>
      <c r="H121" s="55" t="str">
        <f ca="1">IFERROR(VLOOKUP(ROWS($H$3:H121),E:F,2,0),"")</f>
        <v/>
      </c>
    </row>
    <row r="122" spans="1:8" x14ac:dyDescent="0.25">
      <c r="A122" s="54">
        <v>1030404000</v>
      </c>
      <c r="B122" s="54">
        <v>10304040</v>
      </c>
      <c r="C122" s="54">
        <f>RIGHT(Table1[[#This Row],[UACS]],2)*1</f>
        <v>0</v>
      </c>
      <c r="D122" s="54">
        <v>10304040</v>
      </c>
      <c r="E122" s="54">
        <f ca="1">IF(ISNUMBER(SEARCH($I$1,F122)),MAX($E$2:E121)+1,0)</f>
        <v>0</v>
      </c>
      <c r="F122" s="56" t="s">
        <v>198</v>
      </c>
      <c r="H122" s="55" t="str">
        <f ca="1">IFERROR(VLOOKUP(ROWS($H$3:H122),E:F,2,0),"")</f>
        <v/>
      </c>
    </row>
    <row r="123" spans="1:8" x14ac:dyDescent="0.25">
      <c r="A123" s="54">
        <v>1030405000</v>
      </c>
      <c r="B123" s="54">
        <v>10304050</v>
      </c>
      <c r="C123" s="54">
        <f>RIGHT(Table1[[#This Row],[UACS]],2)*1</f>
        <v>0</v>
      </c>
      <c r="D123" s="54">
        <v>10304050</v>
      </c>
      <c r="E123" s="54">
        <f ca="1">IF(ISNUMBER(SEARCH($I$1,F123)),MAX($E$2:E122)+1,0)</f>
        <v>0</v>
      </c>
      <c r="F123" s="56" t="s">
        <v>199</v>
      </c>
      <c r="H123" s="55" t="str">
        <f ca="1">IFERROR(VLOOKUP(ROWS($H$3:H123),E:F,2,0),"")</f>
        <v/>
      </c>
    </row>
    <row r="124" spans="1:8" x14ac:dyDescent="0.25">
      <c r="A124" s="54">
        <v>1030501000</v>
      </c>
      <c r="B124" s="54">
        <v>10305010</v>
      </c>
      <c r="C124" s="54">
        <f>RIGHT(Table1[[#This Row],[UACS]],2)*1</f>
        <v>0</v>
      </c>
      <c r="D124" s="54">
        <v>10305010</v>
      </c>
      <c r="E124" s="54">
        <f ca="1">IF(ISNUMBER(SEARCH($I$1,F124)),MAX($E$2:E123)+1,0)</f>
        <v>0</v>
      </c>
      <c r="F124" s="56" t="s">
        <v>200</v>
      </c>
      <c r="H124" s="55" t="str">
        <f ca="1">IFERROR(VLOOKUP(ROWS($H$3:H124),E:F,2,0),"")</f>
        <v/>
      </c>
    </row>
    <row r="125" spans="1:8" x14ac:dyDescent="0.25">
      <c r="A125" s="54">
        <v>1030502000</v>
      </c>
      <c r="B125" s="54">
        <v>10305020</v>
      </c>
      <c r="C125" s="54">
        <f>RIGHT(Table1[[#This Row],[UACS]],2)*1</f>
        <v>0</v>
      </c>
      <c r="D125" s="54">
        <v>10305020</v>
      </c>
      <c r="E125" s="54">
        <f ca="1">IF(ISNUMBER(SEARCH($I$1,F125)),MAX($E$2:E124)+1,0)</f>
        <v>0</v>
      </c>
      <c r="F125" s="56" t="s">
        <v>201</v>
      </c>
      <c r="H125" s="55" t="str">
        <f ca="1">IFERROR(VLOOKUP(ROWS($H$3:H125),E:F,2,0),"")</f>
        <v/>
      </c>
    </row>
    <row r="126" spans="1:8" x14ac:dyDescent="0.25">
      <c r="A126" s="54">
        <v>1030503000</v>
      </c>
      <c r="B126" s="54">
        <v>10305030</v>
      </c>
      <c r="C126" s="54">
        <f>RIGHT(Table1[[#This Row],[UACS]],2)*1</f>
        <v>0</v>
      </c>
      <c r="D126" s="54">
        <v>10305030</v>
      </c>
      <c r="E126" s="54">
        <f ca="1">IF(ISNUMBER(SEARCH($I$1,F126)),MAX($E$2:E125)+1,0)</f>
        <v>0</v>
      </c>
      <c r="F126" s="56" t="s">
        <v>202</v>
      </c>
      <c r="H126" s="55" t="str">
        <f ca="1">IFERROR(VLOOKUP(ROWS($H$3:H126),E:F,2,0),"")</f>
        <v/>
      </c>
    </row>
    <row r="127" spans="1:8" x14ac:dyDescent="0.25">
      <c r="A127" s="54">
        <v>1030599000</v>
      </c>
      <c r="B127" s="54">
        <v>10305990</v>
      </c>
      <c r="C127" s="54">
        <f>RIGHT(Table1[[#This Row],[UACS]],2)*1</f>
        <v>0</v>
      </c>
      <c r="D127" s="54">
        <v>10305990</v>
      </c>
      <c r="E127" s="54">
        <f ca="1">IF(ISNUMBER(SEARCH($I$1,F127)),MAX($E$2:E126)+1,0)</f>
        <v>0</v>
      </c>
      <c r="F127" s="56" t="s">
        <v>203</v>
      </c>
      <c r="H127" s="55" t="str">
        <f ca="1">IFERROR(VLOOKUP(ROWS($H$3:H127),E:F,2,0),"")</f>
        <v/>
      </c>
    </row>
    <row r="128" spans="1:8" x14ac:dyDescent="0.25">
      <c r="A128" s="54">
        <v>1030599100</v>
      </c>
      <c r="B128" s="54">
        <v>10305991</v>
      </c>
      <c r="C128" s="54">
        <f>RIGHT(Table1[[#This Row],[UACS]],2)*1</f>
        <v>0</v>
      </c>
      <c r="D128" s="54">
        <v>10305991</v>
      </c>
      <c r="E128" s="54">
        <f ca="1">IF(ISNUMBER(SEARCH($I$1,F128)),MAX($E$2:E127)+1,0)</f>
        <v>0</v>
      </c>
      <c r="F128" s="56" t="s">
        <v>204</v>
      </c>
      <c r="H128" s="55" t="str">
        <f ca="1">IFERROR(VLOOKUP(ROWS($H$3:H128),E:F,2,0),"")</f>
        <v/>
      </c>
    </row>
    <row r="129" spans="1:8" x14ac:dyDescent="0.25">
      <c r="A129" s="54">
        <v>1040101001</v>
      </c>
      <c r="B129" s="54">
        <v>10401010</v>
      </c>
      <c r="C129" s="54">
        <f>RIGHT(Table1[[#This Row],[UACS]],2)*1</f>
        <v>1</v>
      </c>
      <c r="D129" s="54">
        <v>10401010</v>
      </c>
      <c r="E129" s="54">
        <f ca="1">IF(ISNUMBER(SEARCH($I$1,F129)),MAX($E$2:E128)+1,0)</f>
        <v>0</v>
      </c>
      <c r="F129" s="56" t="s">
        <v>205</v>
      </c>
      <c r="H129" s="55" t="str">
        <f ca="1">IFERROR(VLOOKUP(ROWS($H$3:H129),E:F,2,0),"")</f>
        <v/>
      </c>
    </row>
    <row r="130" spans="1:8" x14ac:dyDescent="0.25">
      <c r="A130" s="54">
        <v>1040101002</v>
      </c>
      <c r="B130" s="54">
        <v>10401010</v>
      </c>
      <c r="C130" s="54">
        <f>RIGHT(Table1[[#This Row],[UACS]],2)*1</f>
        <v>2</v>
      </c>
      <c r="D130" s="54">
        <v>10401010</v>
      </c>
      <c r="E130" s="54">
        <f ca="1">IF(ISNUMBER(SEARCH($I$1,F130)),MAX($E$2:E129)+1,0)</f>
        <v>0</v>
      </c>
      <c r="F130" s="56" t="s">
        <v>206</v>
      </c>
      <c r="H130" s="55" t="str">
        <f ca="1">IFERROR(VLOOKUP(ROWS($H$3:H130),E:F,2,0),"")</f>
        <v/>
      </c>
    </row>
    <row r="131" spans="1:8" x14ac:dyDescent="0.25">
      <c r="A131" s="54">
        <v>1040101003</v>
      </c>
      <c r="B131" s="54">
        <v>10401010</v>
      </c>
      <c r="C131" s="54">
        <f>RIGHT(Table1[[#This Row],[UACS]],2)*1</f>
        <v>3</v>
      </c>
      <c r="D131" s="54">
        <v>10401010</v>
      </c>
      <c r="E131" s="54">
        <f ca="1">IF(ISNUMBER(SEARCH($I$1,F131)),MAX($E$2:E130)+1,0)</f>
        <v>0</v>
      </c>
      <c r="F131" s="56" t="s">
        <v>207</v>
      </c>
      <c r="H131" s="55" t="str">
        <f ca="1">IFERROR(VLOOKUP(ROWS($H$3:H131),E:F,2,0),"")</f>
        <v/>
      </c>
    </row>
    <row r="132" spans="1:8" x14ac:dyDescent="0.25">
      <c r="A132" s="54">
        <v>1040101004</v>
      </c>
      <c r="B132" s="54">
        <v>10401010</v>
      </c>
      <c r="C132" s="54">
        <f>RIGHT(Table1[[#This Row],[UACS]],2)*1</f>
        <v>4</v>
      </c>
      <c r="D132" s="54">
        <v>10401010</v>
      </c>
      <c r="E132" s="54">
        <f ca="1">IF(ISNUMBER(SEARCH($I$1,F132)),MAX($E$2:E131)+1,0)</f>
        <v>0</v>
      </c>
      <c r="F132" s="56" t="s">
        <v>208</v>
      </c>
      <c r="H132" s="55" t="str">
        <f ca="1">IFERROR(VLOOKUP(ROWS($H$3:H132),E:F,2,0),"")</f>
        <v/>
      </c>
    </row>
    <row r="133" spans="1:8" x14ac:dyDescent="0.25">
      <c r="A133" s="54">
        <v>1040101005</v>
      </c>
      <c r="B133" s="54">
        <v>10401010</v>
      </c>
      <c r="C133" s="54">
        <f>RIGHT(Table1[[#This Row],[UACS]],2)*1</f>
        <v>5</v>
      </c>
      <c r="D133" s="54">
        <v>10401010</v>
      </c>
      <c r="E133" s="54">
        <f ca="1">IF(ISNUMBER(SEARCH($I$1,F133)),MAX($E$2:E132)+1,0)</f>
        <v>0</v>
      </c>
      <c r="F133" s="56" t="s">
        <v>209</v>
      </c>
      <c r="H133" s="55" t="str">
        <f ca="1">IFERROR(VLOOKUP(ROWS($H$3:H133),E:F,2,0),"")</f>
        <v/>
      </c>
    </row>
    <row r="134" spans="1:8" x14ac:dyDescent="0.25">
      <c r="A134" s="54">
        <v>1040101006</v>
      </c>
      <c r="B134" s="54">
        <v>10401010</v>
      </c>
      <c r="C134" s="54">
        <f>RIGHT(Table1[[#This Row],[UACS]],2)*1</f>
        <v>6</v>
      </c>
      <c r="D134" s="54">
        <v>10401010</v>
      </c>
      <c r="E134" s="54">
        <f ca="1">IF(ISNUMBER(SEARCH($I$1,F134)),MAX($E$2:E133)+1,0)</f>
        <v>0</v>
      </c>
      <c r="F134" s="56" t="s">
        <v>210</v>
      </c>
      <c r="H134" s="55" t="str">
        <f ca="1">IFERROR(VLOOKUP(ROWS($H$3:H134),E:F,2,0),"")</f>
        <v/>
      </c>
    </row>
    <row r="135" spans="1:8" x14ac:dyDescent="0.25">
      <c r="A135" s="54">
        <v>1040101007</v>
      </c>
      <c r="B135" s="54">
        <v>10401010</v>
      </c>
      <c r="C135" s="54">
        <f>RIGHT(Table1[[#This Row],[UACS]],2)*1</f>
        <v>7</v>
      </c>
      <c r="D135" s="54">
        <v>10401010</v>
      </c>
      <c r="E135" s="54">
        <f ca="1">IF(ISNUMBER(SEARCH($I$1,F135)),MAX($E$2:E134)+1,0)</f>
        <v>0</v>
      </c>
      <c r="F135" s="56" t="s">
        <v>211</v>
      </c>
      <c r="H135" s="55" t="str">
        <f ca="1">IFERROR(VLOOKUP(ROWS($H$3:H135),E:F,2,0),"")</f>
        <v/>
      </c>
    </row>
    <row r="136" spans="1:8" x14ac:dyDescent="0.25">
      <c r="A136" s="54">
        <v>1040101099</v>
      </c>
      <c r="B136" s="54">
        <v>10401010</v>
      </c>
      <c r="C136" s="54">
        <f>RIGHT(Table1[[#This Row],[UACS]],2)*1</f>
        <v>99</v>
      </c>
      <c r="D136" s="54">
        <v>10401010</v>
      </c>
      <c r="E136" s="54">
        <f ca="1">IF(ISNUMBER(SEARCH($I$1,F136)),MAX($E$2:E135)+1,0)</f>
        <v>0</v>
      </c>
      <c r="F136" s="56" t="s">
        <v>212</v>
      </c>
      <c r="H136" s="55" t="str">
        <f ca="1">IFERROR(VLOOKUP(ROWS($H$3:H136),E:F,2,0),"")</f>
        <v/>
      </c>
    </row>
    <row r="137" spans="1:8" x14ac:dyDescent="0.25">
      <c r="A137" s="54">
        <v>1040201000</v>
      </c>
      <c r="B137" s="54">
        <v>10402010</v>
      </c>
      <c r="C137" s="54">
        <f>RIGHT(Table1[[#This Row],[UACS]],2)*1</f>
        <v>0</v>
      </c>
      <c r="D137" s="54">
        <v>10402010</v>
      </c>
      <c r="E137" s="54">
        <f ca="1">IF(ISNUMBER(SEARCH($I$1,F137)),MAX($E$2:E136)+1,0)</f>
        <v>0</v>
      </c>
      <c r="F137" s="56" t="s">
        <v>213</v>
      </c>
      <c r="H137" s="55" t="str">
        <f ca="1">IFERROR(VLOOKUP(ROWS($H$3:H137),E:F,2,0),"")</f>
        <v/>
      </c>
    </row>
    <row r="138" spans="1:8" x14ac:dyDescent="0.25">
      <c r="A138" s="54">
        <v>1040202000</v>
      </c>
      <c r="B138" s="54">
        <v>10402020</v>
      </c>
      <c r="C138" s="54">
        <f>RIGHT(Table1[[#This Row],[UACS]],2)*1</f>
        <v>0</v>
      </c>
      <c r="D138" s="54">
        <v>10402020</v>
      </c>
      <c r="E138" s="54">
        <f ca="1">IF(ISNUMBER(SEARCH($I$1,F138)),MAX($E$2:E137)+1,0)</f>
        <v>0</v>
      </c>
      <c r="F138" s="56" t="s">
        <v>214</v>
      </c>
      <c r="H138" s="55" t="str">
        <f ca="1">IFERROR(VLOOKUP(ROWS($H$3:H138),E:F,2,0),"")</f>
        <v/>
      </c>
    </row>
    <row r="139" spans="1:8" x14ac:dyDescent="0.25">
      <c r="A139" s="54">
        <v>1040203000</v>
      </c>
      <c r="B139" s="54">
        <v>10402030</v>
      </c>
      <c r="C139" s="54">
        <f>RIGHT(Table1[[#This Row],[UACS]],2)*1</f>
        <v>0</v>
      </c>
      <c r="D139" s="54">
        <v>10402030</v>
      </c>
      <c r="E139" s="54">
        <f ca="1">IF(ISNUMBER(SEARCH($I$1,F139)),MAX($E$2:E138)+1,0)</f>
        <v>0</v>
      </c>
      <c r="F139" s="56" t="s">
        <v>215</v>
      </c>
      <c r="H139" s="55" t="str">
        <f ca="1">IFERROR(VLOOKUP(ROWS($H$3:H139),E:F,2,0),"")</f>
        <v/>
      </c>
    </row>
    <row r="140" spans="1:8" x14ac:dyDescent="0.25">
      <c r="A140" s="54">
        <v>1040204000</v>
      </c>
      <c r="B140" s="54">
        <v>10402040</v>
      </c>
      <c r="C140" s="54">
        <f>RIGHT(Table1[[#This Row],[UACS]],2)*1</f>
        <v>0</v>
      </c>
      <c r="D140" s="54">
        <v>10402040</v>
      </c>
      <c r="E140" s="54">
        <f ca="1">IF(ISNUMBER(SEARCH($I$1,F140)),MAX($E$2:E139)+1,0)</f>
        <v>0</v>
      </c>
      <c r="F140" s="56" t="s">
        <v>216</v>
      </c>
      <c r="H140" s="55" t="str">
        <f ca="1">IFERROR(VLOOKUP(ROWS($H$3:H140),E:F,2,0),"")</f>
        <v/>
      </c>
    </row>
    <row r="141" spans="1:8" x14ac:dyDescent="0.25">
      <c r="A141" s="54">
        <v>1040205000</v>
      </c>
      <c r="B141" s="54">
        <v>10402050</v>
      </c>
      <c r="C141" s="54">
        <f>RIGHT(Table1[[#This Row],[UACS]],2)*1</f>
        <v>0</v>
      </c>
      <c r="D141" s="54">
        <v>10402050</v>
      </c>
      <c r="E141" s="54">
        <f ca="1">IF(ISNUMBER(SEARCH($I$1,F141)),MAX($E$2:E140)+1,0)</f>
        <v>0</v>
      </c>
      <c r="F141" s="56" t="s">
        <v>217</v>
      </c>
      <c r="H141" s="55" t="str">
        <f ca="1">IFERROR(VLOOKUP(ROWS($H$3:H141),E:F,2,0),"")</f>
        <v/>
      </c>
    </row>
    <row r="142" spans="1:8" x14ac:dyDescent="0.25">
      <c r="A142" s="54">
        <v>1040206000</v>
      </c>
      <c r="B142" s="54">
        <v>10402060</v>
      </c>
      <c r="C142" s="54">
        <f>RIGHT(Table1[[#This Row],[UACS]],2)*1</f>
        <v>0</v>
      </c>
      <c r="D142" s="54">
        <v>10402060</v>
      </c>
      <c r="E142" s="54">
        <f ca="1">IF(ISNUMBER(SEARCH($I$1,F142)),MAX($E$2:E141)+1,0)</f>
        <v>0</v>
      </c>
      <c r="F142" s="56" t="s">
        <v>218</v>
      </c>
      <c r="H142" s="55" t="str">
        <f ca="1">IFERROR(VLOOKUP(ROWS($H$3:H142),E:F,2,0),"")</f>
        <v/>
      </c>
    </row>
    <row r="143" spans="1:8" x14ac:dyDescent="0.25">
      <c r="A143" s="54">
        <v>1040207000</v>
      </c>
      <c r="B143" s="54">
        <v>10402070</v>
      </c>
      <c r="C143" s="54">
        <f>RIGHT(Table1[[#This Row],[UACS]],2)*1</f>
        <v>0</v>
      </c>
      <c r="D143" s="54">
        <v>10402070</v>
      </c>
      <c r="E143" s="54">
        <f ca="1">IF(ISNUMBER(SEARCH($I$1,F143)),MAX($E$2:E142)+1,0)</f>
        <v>0</v>
      </c>
      <c r="F143" s="56" t="s">
        <v>219</v>
      </c>
      <c r="H143" s="55" t="str">
        <f ca="1">IFERROR(VLOOKUP(ROWS($H$3:H143),E:F,2,0),"")</f>
        <v/>
      </c>
    </row>
    <row r="144" spans="1:8" x14ac:dyDescent="0.25">
      <c r="A144" s="54">
        <v>1040208000</v>
      </c>
      <c r="B144" s="54">
        <v>10402080</v>
      </c>
      <c r="C144" s="54">
        <f>RIGHT(Table1[[#This Row],[UACS]],2)*1</f>
        <v>0</v>
      </c>
      <c r="D144" s="54">
        <v>10402080</v>
      </c>
      <c r="E144" s="54">
        <f ca="1">IF(ISNUMBER(SEARCH($I$1,F144)),MAX($E$2:E143)+1,0)</f>
        <v>0</v>
      </c>
      <c r="F144" s="56" t="s">
        <v>220</v>
      </c>
      <c r="H144" s="55" t="str">
        <f ca="1">IFERROR(VLOOKUP(ROWS($H$3:H144),E:F,2,0),"")</f>
        <v/>
      </c>
    </row>
    <row r="145" spans="1:8" x14ac:dyDescent="0.25">
      <c r="A145" s="54">
        <v>1040209000</v>
      </c>
      <c r="B145" s="54">
        <v>10402090</v>
      </c>
      <c r="C145" s="54">
        <f>RIGHT(Table1[[#This Row],[UACS]],2)*1</f>
        <v>0</v>
      </c>
      <c r="D145" s="54">
        <v>10402090</v>
      </c>
      <c r="E145" s="54">
        <f ca="1">IF(ISNUMBER(SEARCH($I$1,F145)),MAX($E$2:E144)+1,0)</f>
        <v>0</v>
      </c>
      <c r="F145" s="56" t="s">
        <v>221</v>
      </c>
      <c r="H145" s="55" t="str">
        <f ca="1">IFERROR(VLOOKUP(ROWS($H$3:H145),E:F,2,0),"")</f>
        <v/>
      </c>
    </row>
    <row r="146" spans="1:8" x14ac:dyDescent="0.25">
      <c r="A146" s="54">
        <v>1040299000</v>
      </c>
      <c r="B146" s="54">
        <v>10402990</v>
      </c>
      <c r="C146" s="54">
        <f>RIGHT(Table1[[#This Row],[UACS]],2)*1</f>
        <v>0</v>
      </c>
      <c r="D146" s="54">
        <v>10402990</v>
      </c>
      <c r="E146" s="54">
        <f ca="1">IF(ISNUMBER(SEARCH($I$1,F146)),MAX($E$2:E145)+1,0)</f>
        <v>0</v>
      </c>
      <c r="F146" s="56" t="s">
        <v>222</v>
      </c>
      <c r="H146" s="55" t="str">
        <f ca="1">IFERROR(VLOOKUP(ROWS($H$3:H146),E:F,2,0),"")</f>
        <v/>
      </c>
    </row>
    <row r="147" spans="1:8" x14ac:dyDescent="0.25">
      <c r="A147" s="54">
        <v>1040301000</v>
      </c>
      <c r="B147" s="54">
        <v>10403010</v>
      </c>
      <c r="C147" s="54">
        <f>RIGHT(Table1[[#This Row],[UACS]],2)*1</f>
        <v>0</v>
      </c>
      <c r="D147" s="54">
        <v>10403010</v>
      </c>
      <c r="E147" s="54">
        <f ca="1">IF(ISNUMBER(SEARCH($I$1,F147)),MAX($E$2:E146)+1,0)</f>
        <v>0</v>
      </c>
      <c r="F147" s="56" t="s">
        <v>223</v>
      </c>
      <c r="H147" s="55" t="str">
        <f ca="1">IFERROR(VLOOKUP(ROWS($H$3:H147),E:F,2,0),"")</f>
        <v/>
      </c>
    </row>
    <row r="148" spans="1:8" x14ac:dyDescent="0.25">
      <c r="A148" s="54">
        <v>1040302000</v>
      </c>
      <c r="B148" s="54">
        <v>10403020</v>
      </c>
      <c r="C148" s="54">
        <f>RIGHT(Table1[[#This Row],[UACS]],2)*1</f>
        <v>0</v>
      </c>
      <c r="D148" s="54">
        <v>10403020</v>
      </c>
      <c r="E148" s="54">
        <f ca="1">IF(ISNUMBER(SEARCH($I$1,F148)),MAX($E$2:E147)+1,0)</f>
        <v>0</v>
      </c>
      <c r="F148" s="56" t="s">
        <v>224</v>
      </c>
      <c r="H148" s="55" t="str">
        <f ca="1">IFERROR(VLOOKUP(ROWS($H$3:H148),E:F,2,0),"")</f>
        <v/>
      </c>
    </row>
    <row r="149" spans="1:8" x14ac:dyDescent="0.25">
      <c r="A149" s="54">
        <v>1040303000</v>
      </c>
      <c r="B149" s="54">
        <v>10403030</v>
      </c>
      <c r="C149" s="54">
        <f>RIGHT(Table1[[#This Row],[UACS]],2)*1</f>
        <v>0</v>
      </c>
      <c r="D149" s="54">
        <v>10403030</v>
      </c>
      <c r="E149" s="54">
        <f ca="1">IF(ISNUMBER(SEARCH($I$1,F149)),MAX($E$2:E148)+1,0)</f>
        <v>0</v>
      </c>
      <c r="F149" s="56" t="s">
        <v>225</v>
      </c>
      <c r="H149" s="55" t="str">
        <f ca="1">IFERROR(VLOOKUP(ROWS($H$3:H149),E:F,2,0),"")</f>
        <v/>
      </c>
    </row>
    <row r="150" spans="1:8" x14ac:dyDescent="0.25">
      <c r="A150" s="54">
        <v>1040401000</v>
      </c>
      <c r="B150" s="54">
        <v>10404010</v>
      </c>
      <c r="C150" s="54">
        <f>RIGHT(Table1[[#This Row],[UACS]],2)*1</f>
        <v>0</v>
      </c>
      <c r="D150" s="54">
        <v>10404010</v>
      </c>
      <c r="E150" s="54">
        <f ca="1">IF(ISNUMBER(SEARCH($I$1,F150)),MAX($E$2:E149)+1,0)</f>
        <v>0</v>
      </c>
      <c r="F150" s="56" t="s">
        <v>226</v>
      </c>
      <c r="H150" s="55" t="str">
        <f ca="1">IFERROR(VLOOKUP(ROWS($H$3:H150),E:F,2,0),"")</f>
        <v/>
      </c>
    </row>
    <row r="151" spans="1:8" x14ac:dyDescent="0.25">
      <c r="A151" s="54">
        <v>1040402000</v>
      </c>
      <c r="B151" s="54">
        <v>10404020</v>
      </c>
      <c r="C151" s="54">
        <f>RIGHT(Table1[[#This Row],[UACS]],2)*1</f>
        <v>0</v>
      </c>
      <c r="D151" s="54">
        <v>10404020</v>
      </c>
      <c r="E151" s="54">
        <f ca="1">IF(ISNUMBER(SEARCH($I$1,F151)),MAX($E$2:E150)+1,0)</f>
        <v>0</v>
      </c>
      <c r="F151" s="56" t="s">
        <v>227</v>
      </c>
      <c r="H151" s="55" t="str">
        <f ca="1">IFERROR(VLOOKUP(ROWS($H$3:H151),E:F,2,0),"")</f>
        <v/>
      </c>
    </row>
    <row r="152" spans="1:8" x14ac:dyDescent="0.25">
      <c r="A152" s="54">
        <v>1040403000</v>
      </c>
      <c r="B152" s="54">
        <v>10404030</v>
      </c>
      <c r="C152" s="54">
        <f>RIGHT(Table1[[#This Row],[UACS]],2)*1</f>
        <v>0</v>
      </c>
      <c r="D152" s="54">
        <v>10404030</v>
      </c>
      <c r="E152" s="54">
        <f ca="1">IF(ISNUMBER(SEARCH($I$1,F152)),MAX($E$2:E151)+1,0)</f>
        <v>0</v>
      </c>
      <c r="F152" s="56" t="s">
        <v>228</v>
      </c>
      <c r="H152" s="55" t="str">
        <f ca="1">IFERROR(VLOOKUP(ROWS($H$3:H152),E:F,2,0),"")</f>
        <v/>
      </c>
    </row>
    <row r="153" spans="1:8" x14ac:dyDescent="0.25">
      <c r="A153" s="54">
        <v>1040404000</v>
      </c>
      <c r="B153" s="54">
        <v>10404040</v>
      </c>
      <c r="C153" s="54">
        <f>RIGHT(Table1[[#This Row],[UACS]],2)*1</f>
        <v>0</v>
      </c>
      <c r="D153" s="54">
        <v>10404040</v>
      </c>
      <c r="E153" s="54">
        <f ca="1">IF(ISNUMBER(SEARCH($I$1,F153)),MAX($E$2:E152)+1,0)</f>
        <v>0</v>
      </c>
      <c r="F153" s="56" t="s">
        <v>229</v>
      </c>
      <c r="H153" s="55" t="str">
        <f ca="1">IFERROR(VLOOKUP(ROWS($H$3:H153),E:F,2,0),"")</f>
        <v/>
      </c>
    </row>
    <row r="154" spans="1:8" x14ac:dyDescent="0.25">
      <c r="A154" s="54">
        <v>1040405000</v>
      </c>
      <c r="B154" s="54">
        <v>10404050</v>
      </c>
      <c r="C154" s="54">
        <f>RIGHT(Table1[[#This Row],[UACS]],2)*1</f>
        <v>0</v>
      </c>
      <c r="D154" s="54">
        <v>10404050</v>
      </c>
      <c r="E154" s="54">
        <f ca="1">IF(ISNUMBER(SEARCH($I$1,F154)),MAX($E$2:E153)+1,0)</f>
        <v>0</v>
      </c>
      <c r="F154" s="56" t="s">
        <v>230</v>
      </c>
      <c r="H154" s="55" t="str">
        <f ca="1">IFERROR(VLOOKUP(ROWS($H$3:H154),E:F,2,0),"")</f>
        <v/>
      </c>
    </row>
    <row r="155" spans="1:8" x14ac:dyDescent="0.25">
      <c r="A155" s="54">
        <v>1040406000</v>
      </c>
      <c r="B155" s="54">
        <v>10404060</v>
      </c>
      <c r="C155" s="54">
        <f>RIGHT(Table1[[#This Row],[UACS]],2)*1</f>
        <v>0</v>
      </c>
      <c r="D155" s="54">
        <v>10404060</v>
      </c>
      <c r="E155" s="54">
        <f ca="1">IF(ISNUMBER(SEARCH($I$1,F155)),MAX($E$2:E154)+1,0)</f>
        <v>0</v>
      </c>
      <c r="F155" s="56" t="s">
        <v>231</v>
      </c>
      <c r="H155" s="55" t="str">
        <f ca="1">IFERROR(VLOOKUP(ROWS($H$3:H155),E:F,2,0),"")</f>
        <v/>
      </c>
    </row>
    <row r="156" spans="1:8" x14ac:dyDescent="0.25">
      <c r="A156" s="54">
        <v>1040407000</v>
      </c>
      <c r="B156" s="54">
        <v>10404070</v>
      </c>
      <c r="C156" s="54">
        <f>RIGHT(Table1[[#This Row],[UACS]],2)*1</f>
        <v>0</v>
      </c>
      <c r="D156" s="54">
        <v>10404070</v>
      </c>
      <c r="E156" s="54">
        <f ca="1">IF(ISNUMBER(SEARCH($I$1,F156)),MAX($E$2:E155)+1,0)</f>
        <v>0</v>
      </c>
      <c r="F156" s="56" t="s">
        <v>232</v>
      </c>
      <c r="H156" s="55" t="str">
        <f ca="1">IFERROR(VLOOKUP(ROWS($H$3:H156),E:F,2,0),"")</f>
        <v/>
      </c>
    </row>
    <row r="157" spans="1:8" x14ac:dyDescent="0.25">
      <c r="A157" s="54">
        <v>1040408000</v>
      </c>
      <c r="B157" s="54">
        <v>10404080</v>
      </c>
      <c r="C157" s="54">
        <f>RIGHT(Table1[[#This Row],[UACS]],2)*1</f>
        <v>0</v>
      </c>
      <c r="D157" s="54">
        <v>10404080</v>
      </c>
      <c r="E157" s="54">
        <f ca="1">IF(ISNUMBER(SEARCH($I$1,F157)),MAX($E$2:E156)+1,0)</f>
        <v>0</v>
      </c>
      <c r="F157" s="56" t="s">
        <v>233</v>
      </c>
      <c r="H157" s="55" t="str">
        <f ca="1">IFERROR(VLOOKUP(ROWS($H$3:H157),E:F,2,0),"")</f>
        <v/>
      </c>
    </row>
    <row r="158" spans="1:8" x14ac:dyDescent="0.25">
      <c r="A158" s="54">
        <v>1040409000</v>
      </c>
      <c r="B158" s="54">
        <v>10404090</v>
      </c>
      <c r="C158" s="54">
        <f>RIGHT(Table1[[#This Row],[UACS]],2)*1</f>
        <v>0</v>
      </c>
      <c r="D158" s="54">
        <v>10404090</v>
      </c>
      <c r="E158" s="54">
        <f ca="1">IF(ISNUMBER(SEARCH($I$1,F158)),MAX($E$2:E157)+1,0)</f>
        <v>0</v>
      </c>
      <c r="F158" s="56" t="s">
        <v>234</v>
      </c>
      <c r="H158" s="55" t="str">
        <f ca="1">IFERROR(VLOOKUP(ROWS($H$3:H158),E:F,2,0),"")</f>
        <v/>
      </c>
    </row>
    <row r="159" spans="1:8" x14ac:dyDescent="0.25">
      <c r="A159" s="54">
        <v>1040410000</v>
      </c>
      <c r="B159" s="54">
        <v>10404100</v>
      </c>
      <c r="C159" s="54">
        <f>RIGHT(Table1[[#This Row],[UACS]],2)*1</f>
        <v>0</v>
      </c>
      <c r="D159" s="54">
        <v>10404100</v>
      </c>
      <c r="E159" s="54">
        <f ca="1">IF(ISNUMBER(SEARCH($I$1,F159)),MAX($E$2:E158)+1,0)</f>
        <v>0</v>
      </c>
      <c r="F159" s="56" t="s">
        <v>235</v>
      </c>
      <c r="H159" s="55" t="str">
        <f ca="1">IFERROR(VLOOKUP(ROWS($H$3:H159),E:F,2,0),"")</f>
        <v/>
      </c>
    </row>
    <row r="160" spans="1:8" x14ac:dyDescent="0.25">
      <c r="A160" s="54">
        <v>1040411000</v>
      </c>
      <c r="B160" s="54">
        <v>10404110</v>
      </c>
      <c r="C160" s="54">
        <f>RIGHT(Table1[[#This Row],[UACS]],2)*1</f>
        <v>0</v>
      </c>
      <c r="D160" s="54">
        <v>10404110</v>
      </c>
      <c r="E160" s="54">
        <f ca="1">IF(ISNUMBER(SEARCH($I$1,F160)),MAX($E$2:E159)+1,0)</f>
        <v>0</v>
      </c>
      <c r="F160" s="56" t="s">
        <v>236</v>
      </c>
      <c r="H160" s="55" t="str">
        <f ca="1">IFERROR(VLOOKUP(ROWS($H$3:H160),E:F,2,0),"")</f>
        <v/>
      </c>
    </row>
    <row r="161" spans="1:8" x14ac:dyDescent="0.25">
      <c r="A161" s="54">
        <v>1040412000</v>
      </c>
      <c r="B161" s="54">
        <v>10404120</v>
      </c>
      <c r="C161" s="54">
        <f>RIGHT(Table1[[#This Row],[UACS]],2)*1</f>
        <v>0</v>
      </c>
      <c r="D161" s="54">
        <v>10404120</v>
      </c>
      <c r="E161" s="54">
        <f ca="1">IF(ISNUMBER(SEARCH($I$1,F161)),MAX($E$2:E160)+1,0)</f>
        <v>0</v>
      </c>
      <c r="F161" s="56" t="s">
        <v>237</v>
      </c>
      <c r="H161" s="55" t="str">
        <f ca="1">IFERROR(VLOOKUP(ROWS($H$3:H161),E:F,2,0),"")</f>
        <v/>
      </c>
    </row>
    <row r="162" spans="1:8" x14ac:dyDescent="0.25">
      <c r="A162" s="54">
        <v>1040413000</v>
      </c>
      <c r="B162" s="54">
        <v>10404130</v>
      </c>
      <c r="C162" s="54">
        <f>RIGHT(Table1[[#This Row],[UACS]],2)*1</f>
        <v>0</v>
      </c>
      <c r="D162" s="54">
        <v>10404130</v>
      </c>
      <c r="E162" s="54">
        <f ca="1">IF(ISNUMBER(SEARCH($I$1,F162)),MAX($E$2:E161)+1,0)</f>
        <v>0</v>
      </c>
      <c r="F162" s="56" t="s">
        <v>238</v>
      </c>
      <c r="H162" s="55" t="str">
        <f ca="1">IFERROR(VLOOKUP(ROWS($H$3:H162),E:F,2,0),"")</f>
        <v/>
      </c>
    </row>
    <row r="163" spans="1:8" x14ac:dyDescent="0.25">
      <c r="A163" s="54">
        <v>1040499000</v>
      </c>
      <c r="B163" s="54">
        <v>10404990</v>
      </c>
      <c r="C163" s="54">
        <f>RIGHT(Table1[[#This Row],[UACS]],2)*1</f>
        <v>0</v>
      </c>
      <c r="D163" s="54">
        <v>10404990</v>
      </c>
      <c r="E163" s="54">
        <f ca="1">IF(ISNUMBER(SEARCH($I$1,F163)),MAX($E$2:E162)+1,0)</f>
        <v>0</v>
      </c>
      <c r="F163" s="56" t="s">
        <v>239</v>
      </c>
      <c r="H163" s="55" t="str">
        <f ca="1">IFERROR(VLOOKUP(ROWS($H$3:H163),E:F,2,0),"")</f>
        <v/>
      </c>
    </row>
    <row r="164" spans="1:8" x14ac:dyDescent="0.25">
      <c r="A164" s="54">
        <v>1040501000</v>
      </c>
      <c r="B164" s="54">
        <v>10405010</v>
      </c>
      <c r="C164" s="54">
        <f>RIGHT(Table1[[#This Row],[UACS]],2)*1</f>
        <v>0</v>
      </c>
      <c r="D164" s="54">
        <v>10405010</v>
      </c>
      <c r="E164" s="54">
        <f ca="1">IF(ISNUMBER(SEARCH($I$1,F164)),MAX($E$2:E163)+1,0)</f>
        <v>0</v>
      </c>
      <c r="F164" s="56" t="s">
        <v>240</v>
      </c>
      <c r="H164" s="55" t="str">
        <f ca="1">IFERROR(VLOOKUP(ROWS($H$3:H164),E:F,2,0),"")</f>
        <v/>
      </c>
    </row>
    <row r="165" spans="1:8" x14ac:dyDescent="0.25">
      <c r="A165" s="54">
        <v>1040502000</v>
      </c>
      <c r="B165" s="54">
        <v>10405020</v>
      </c>
      <c r="C165" s="54">
        <f>RIGHT(Table1[[#This Row],[UACS]],2)*1</f>
        <v>0</v>
      </c>
      <c r="D165" s="54">
        <v>10405020</v>
      </c>
      <c r="E165" s="54">
        <f ca="1">IF(ISNUMBER(SEARCH($I$1,F165)),MAX($E$2:E164)+1,0)</f>
        <v>0</v>
      </c>
      <c r="F165" s="56" t="s">
        <v>241</v>
      </c>
      <c r="H165" s="55" t="str">
        <f ca="1">IFERROR(VLOOKUP(ROWS($H$3:H165),E:F,2,0),"")</f>
        <v/>
      </c>
    </row>
    <row r="166" spans="1:8" x14ac:dyDescent="0.25">
      <c r="A166" s="54">
        <v>1040503000</v>
      </c>
      <c r="B166" s="54">
        <v>10405030</v>
      </c>
      <c r="C166" s="54">
        <f>RIGHT(Table1[[#This Row],[UACS]],2)*1</f>
        <v>0</v>
      </c>
      <c r="D166" s="54">
        <v>10405030</v>
      </c>
      <c r="E166" s="54">
        <f ca="1">IF(ISNUMBER(SEARCH($I$1,F166)),MAX($E$2:E165)+1,0)</f>
        <v>0</v>
      </c>
      <c r="F166" s="56" t="s">
        <v>242</v>
      </c>
      <c r="H166" s="55" t="str">
        <f ca="1">IFERROR(VLOOKUP(ROWS($H$3:H166),E:F,2,0),"")</f>
        <v/>
      </c>
    </row>
    <row r="167" spans="1:8" x14ac:dyDescent="0.25">
      <c r="A167" s="54">
        <v>1040504000</v>
      </c>
      <c r="B167" s="54">
        <v>10405040</v>
      </c>
      <c r="C167" s="54">
        <f>RIGHT(Table1[[#This Row],[UACS]],2)*1</f>
        <v>0</v>
      </c>
      <c r="D167" s="54">
        <v>10405040</v>
      </c>
      <c r="E167" s="54">
        <f ca="1">IF(ISNUMBER(SEARCH($I$1,F167)),MAX($E$2:E166)+1,0)</f>
        <v>0</v>
      </c>
      <c r="F167" s="56" t="s">
        <v>243</v>
      </c>
      <c r="H167" s="55" t="str">
        <f ca="1">IFERROR(VLOOKUP(ROWS($H$3:H167),E:F,2,0),"")</f>
        <v/>
      </c>
    </row>
    <row r="168" spans="1:8" x14ac:dyDescent="0.25">
      <c r="A168" s="54">
        <v>1040505000</v>
      </c>
      <c r="B168" s="54">
        <v>10405050</v>
      </c>
      <c r="C168" s="54">
        <f>RIGHT(Table1[[#This Row],[UACS]],2)*1</f>
        <v>0</v>
      </c>
      <c r="D168" s="54">
        <v>10405050</v>
      </c>
      <c r="E168" s="54">
        <f ca="1">IF(ISNUMBER(SEARCH($I$1,F168)),MAX($E$2:E167)+1,0)</f>
        <v>0</v>
      </c>
      <c r="F168" s="56" t="s">
        <v>244</v>
      </c>
      <c r="H168" s="55" t="str">
        <f ca="1">IFERROR(VLOOKUP(ROWS($H$3:H168),E:F,2,0),"")</f>
        <v/>
      </c>
    </row>
    <row r="169" spans="1:8" x14ac:dyDescent="0.25">
      <c r="A169" s="54">
        <v>1040506000</v>
      </c>
      <c r="B169" s="54">
        <v>10405060</v>
      </c>
      <c r="C169" s="54">
        <f>RIGHT(Table1[[#This Row],[UACS]],2)*1</f>
        <v>0</v>
      </c>
      <c r="D169" s="54">
        <v>10405060</v>
      </c>
      <c r="E169" s="54">
        <f ca="1">IF(ISNUMBER(SEARCH($I$1,F169)),MAX($E$2:E168)+1,0)</f>
        <v>0</v>
      </c>
      <c r="F169" s="56" t="s">
        <v>245</v>
      </c>
      <c r="H169" s="55" t="str">
        <f ca="1">IFERROR(VLOOKUP(ROWS($H$3:H169),E:F,2,0),"")</f>
        <v/>
      </c>
    </row>
    <row r="170" spans="1:8" x14ac:dyDescent="0.25">
      <c r="A170" s="54">
        <v>1040507000</v>
      </c>
      <c r="B170" s="54">
        <v>10405070</v>
      </c>
      <c r="C170" s="54">
        <f>RIGHT(Table1[[#This Row],[UACS]],2)*1</f>
        <v>0</v>
      </c>
      <c r="D170" s="54">
        <v>10405070</v>
      </c>
      <c r="E170" s="54">
        <f ca="1">IF(ISNUMBER(SEARCH($I$1,F170)),MAX($E$2:E169)+1,0)</f>
        <v>0</v>
      </c>
      <c r="F170" s="56" t="s">
        <v>246</v>
      </c>
      <c r="H170" s="55" t="str">
        <f ca="1">IFERROR(VLOOKUP(ROWS($H$3:H170),E:F,2,0),"")</f>
        <v/>
      </c>
    </row>
    <row r="171" spans="1:8" x14ac:dyDescent="0.25">
      <c r="A171" s="54">
        <v>1040508000</v>
      </c>
      <c r="B171" s="54">
        <v>10405080</v>
      </c>
      <c r="C171" s="54">
        <f>RIGHT(Table1[[#This Row],[UACS]],2)*1</f>
        <v>0</v>
      </c>
      <c r="D171" s="54">
        <v>10405080</v>
      </c>
      <c r="E171" s="54">
        <f ca="1">IF(ISNUMBER(SEARCH($I$1,F171)),MAX($E$2:E170)+1,0)</f>
        <v>0</v>
      </c>
      <c r="F171" s="56" t="s">
        <v>247</v>
      </c>
      <c r="H171" s="55" t="str">
        <f ca="1">IFERROR(VLOOKUP(ROWS($H$3:H171),E:F,2,0),"")</f>
        <v/>
      </c>
    </row>
    <row r="172" spans="1:8" x14ac:dyDescent="0.25">
      <c r="A172" s="54">
        <v>1040509000</v>
      </c>
      <c r="B172" s="54">
        <v>10405090</v>
      </c>
      <c r="C172" s="54">
        <f>RIGHT(Table1[[#This Row],[UACS]],2)*1</f>
        <v>0</v>
      </c>
      <c r="D172" s="54">
        <v>10405090</v>
      </c>
      <c r="E172" s="54">
        <f ca="1">IF(ISNUMBER(SEARCH($I$1,F172)),MAX($E$2:E171)+1,0)</f>
        <v>0</v>
      </c>
      <c r="F172" s="56" t="s">
        <v>248</v>
      </c>
      <c r="H172" s="55" t="str">
        <f ca="1">IFERROR(VLOOKUP(ROWS($H$3:H172),E:F,2,0),"")</f>
        <v/>
      </c>
    </row>
    <row r="173" spans="1:8" x14ac:dyDescent="0.25">
      <c r="A173" s="54">
        <v>1040510000</v>
      </c>
      <c r="B173" s="54">
        <v>10405100</v>
      </c>
      <c r="C173" s="54">
        <f>RIGHT(Table1[[#This Row],[UACS]],2)*1</f>
        <v>0</v>
      </c>
      <c r="D173" s="54">
        <v>10405100</v>
      </c>
      <c r="E173" s="54">
        <f ca="1">IF(ISNUMBER(SEARCH($I$1,F173)),MAX($E$2:E172)+1,0)</f>
        <v>0</v>
      </c>
      <c r="F173" s="56" t="s">
        <v>249</v>
      </c>
      <c r="H173" s="55" t="str">
        <f ca="1">IFERROR(VLOOKUP(ROWS($H$3:H173),E:F,2,0),"")</f>
        <v/>
      </c>
    </row>
    <row r="174" spans="1:8" x14ac:dyDescent="0.25">
      <c r="A174" s="54">
        <v>1040511000</v>
      </c>
      <c r="B174" s="54">
        <v>10405110</v>
      </c>
      <c r="C174" s="54">
        <f>RIGHT(Table1[[#This Row],[UACS]],2)*1</f>
        <v>0</v>
      </c>
      <c r="D174" s="54">
        <v>10405110</v>
      </c>
      <c r="E174" s="54">
        <f ca="1">IF(ISNUMBER(SEARCH($I$1,F174)),MAX($E$2:E173)+1,0)</f>
        <v>0</v>
      </c>
      <c r="F174" s="56" t="s">
        <v>250</v>
      </c>
      <c r="H174" s="55" t="str">
        <f ca="1">IFERROR(VLOOKUP(ROWS($H$3:H174),E:F,2,0),"")</f>
        <v/>
      </c>
    </row>
    <row r="175" spans="1:8" x14ac:dyDescent="0.25">
      <c r="A175" s="54">
        <v>1040512000</v>
      </c>
      <c r="B175" s="54">
        <v>10405120</v>
      </c>
      <c r="C175" s="54">
        <f>RIGHT(Table1[[#This Row],[UACS]],2)*1</f>
        <v>0</v>
      </c>
      <c r="D175" s="54">
        <v>10405120</v>
      </c>
      <c r="E175" s="54">
        <f ca="1">IF(ISNUMBER(SEARCH($I$1,F175)),MAX($E$2:E174)+1,0)</f>
        <v>0</v>
      </c>
      <c r="F175" s="56" t="s">
        <v>251</v>
      </c>
      <c r="H175" s="55" t="str">
        <f ca="1">IFERROR(VLOOKUP(ROWS($H$3:H175),E:F,2,0),"")</f>
        <v/>
      </c>
    </row>
    <row r="176" spans="1:8" x14ac:dyDescent="0.25">
      <c r="A176" s="54">
        <v>1040513000</v>
      </c>
      <c r="B176" s="54">
        <v>10405130</v>
      </c>
      <c r="C176" s="54">
        <f>RIGHT(Table1[[#This Row],[UACS]],2)*1</f>
        <v>0</v>
      </c>
      <c r="D176" s="54">
        <v>10405130</v>
      </c>
      <c r="E176" s="54">
        <f ca="1">IF(ISNUMBER(SEARCH($I$1,F176)),MAX($E$2:E175)+1,0)</f>
        <v>0</v>
      </c>
      <c r="F176" s="56" t="s">
        <v>252</v>
      </c>
      <c r="H176" s="55" t="str">
        <f ca="1">IFERROR(VLOOKUP(ROWS($H$3:H176),E:F,2,0),"")</f>
        <v/>
      </c>
    </row>
    <row r="177" spans="1:8" x14ac:dyDescent="0.25">
      <c r="A177" s="54">
        <v>1040519000</v>
      </c>
      <c r="B177" s="54">
        <v>10405190</v>
      </c>
      <c r="C177" s="54">
        <f>RIGHT(Table1[[#This Row],[UACS]],2)*1</f>
        <v>0</v>
      </c>
      <c r="D177" s="54">
        <v>10405190</v>
      </c>
      <c r="E177" s="54">
        <f ca="1">IF(ISNUMBER(SEARCH($I$1,F177)),MAX($E$2:E176)+1,0)</f>
        <v>0</v>
      </c>
      <c r="F177" s="56" t="s">
        <v>253</v>
      </c>
      <c r="H177" s="55" t="str">
        <f ca="1">IFERROR(VLOOKUP(ROWS($H$3:H177),E:F,2,0),"")</f>
        <v/>
      </c>
    </row>
    <row r="178" spans="1:8" x14ac:dyDescent="0.25">
      <c r="A178" s="54">
        <v>1040601000</v>
      </c>
      <c r="B178" s="54">
        <v>10406010</v>
      </c>
      <c r="C178" s="54">
        <f>RIGHT(Table1[[#This Row],[UACS]],2)*1</f>
        <v>0</v>
      </c>
      <c r="D178" s="54">
        <v>10406010</v>
      </c>
      <c r="E178" s="54">
        <f ca="1">IF(ISNUMBER(SEARCH($I$1,F178)),MAX($E$2:E177)+1,0)</f>
        <v>0</v>
      </c>
      <c r="F178" s="56" t="s">
        <v>254</v>
      </c>
      <c r="H178" s="55" t="str">
        <f ca="1">IFERROR(VLOOKUP(ROWS($H$3:H178),E:F,2,0),"")</f>
        <v/>
      </c>
    </row>
    <row r="179" spans="1:8" x14ac:dyDescent="0.25">
      <c r="A179" s="54">
        <v>1040602000</v>
      </c>
      <c r="B179" s="54">
        <v>10406020</v>
      </c>
      <c r="C179" s="54">
        <f>RIGHT(Table1[[#This Row],[UACS]],2)*1</f>
        <v>0</v>
      </c>
      <c r="D179" s="54">
        <v>10406020</v>
      </c>
      <c r="E179" s="54">
        <f ca="1">IF(ISNUMBER(SEARCH($I$1,F179)),MAX($E$2:E178)+1,0)</f>
        <v>0</v>
      </c>
      <c r="F179" s="56" t="s">
        <v>255</v>
      </c>
      <c r="H179" s="55" t="str">
        <f ca="1">IFERROR(VLOOKUP(ROWS($H$3:H179),E:F,2,0),"")</f>
        <v/>
      </c>
    </row>
    <row r="180" spans="1:8" x14ac:dyDescent="0.25">
      <c r="A180" s="54">
        <v>1050101000</v>
      </c>
      <c r="B180" s="54">
        <v>10501010</v>
      </c>
      <c r="C180" s="54">
        <f>RIGHT(Table1[[#This Row],[UACS]],2)*1</f>
        <v>0</v>
      </c>
      <c r="D180" s="54">
        <v>10501010</v>
      </c>
      <c r="E180" s="54">
        <f ca="1">IF(ISNUMBER(SEARCH($I$1,F180)),MAX($E$2:E179)+1,0)</f>
        <v>0</v>
      </c>
      <c r="F180" s="56" t="s">
        <v>256</v>
      </c>
      <c r="H180" s="55" t="str">
        <f ca="1">IFERROR(VLOOKUP(ROWS($H$3:H180),E:F,2,0),"")</f>
        <v/>
      </c>
    </row>
    <row r="181" spans="1:8" x14ac:dyDescent="0.25">
      <c r="A181" s="54">
        <v>1050101100</v>
      </c>
      <c r="B181" s="54">
        <v>10501011</v>
      </c>
      <c r="C181" s="54">
        <f>RIGHT(Table1[[#This Row],[UACS]],2)*1</f>
        <v>0</v>
      </c>
      <c r="D181" s="54">
        <v>10501011</v>
      </c>
      <c r="E181" s="54">
        <f ca="1">IF(ISNUMBER(SEARCH($I$1,F181)),MAX($E$2:E180)+1,0)</f>
        <v>0</v>
      </c>
      <c r="F181" s="56" t="s">
        <v>257</v>
      </c>
      <c r="H181" s="55" t="str">
        <f ca="1">IFERROR(VLOOKUP(ROWS($H$3:H181),E:F,2,0),"")</f>
        <v/>
      </c>
    </row>
    <row r="182" spans="1:8" x14ac:dyDescent="0.25">
      <c r="A182" s="54">
        <v>1050102000</v>
      </c>
      <c r="B182" s="54">
        <v>10501020</v>
      </c>
      <c r="C182" s="54">
        <f>RIGHT(Table1[[#This Row],[UACS]],2)*1</f>
        <v>0</v>
      </c>
      <c r="D182" s="54">
        <v>10501020</v>
      </c>
      <c r="E182" s="54">
        <f ca="1">IF(ISNUMBER(SEARCH($I$1,F182)),MAX($E$2:E181)+1,0)</f>
        <v>0</v>
      </c>
      <c r="F182" s="56" t="s">
        <v>258</v>
      </c>
      <c r="H182" s="55" t="str">
        <f ca="1">IFERROR(VLOOKUP(ROWS($H$3:H182),E:F,2,0),"")</f>
        <v/>
      </c>
    </row>
    <row r="183" spans="1:8" x14ac:dyDescent="0.25">
      <c r="A183" s="54">
        <v>1050102100</v>
      </c>
      <c r="B183" s="54">
        <v>10501021</v>
      </c>
      <c r="C183" s="54">
        <f>RIGHT(Table1[[#This Row],[UACS]],2)*1</f>
        <v>0</v>
      </c>
      <c r="D183" s="54">
        <v>10501021</v>
      </c>
      <c r="E183" s="54">
        <f ca="1">IF(ISNUMBER(SEARCH($I$1,F183)),MAX($E$2:E182)+1,0)</f>
        <v>0</v>
      </c>
      <c r="F183" s="56" t="s">
        <v>259</v>
      </c>
      <c r="H183" s="55" t="str">
        <f ca="1">IFERROR(VLOOKUP(ROWS($H$3:H183),E:F,2,0),"")</f>
        <v/>
      </c>
    </row>
    <row r="184" spans="1:8" x14ac:dyDescent="0.25">
      <c r="A184" s="54">
        <v>1050102200</v>
      </c>
      <c r="B184" s="54">
        <v>10501022</v>
      </c>
      <c r="C184" s="54">
        <f>RIGHT(Table1[[#This Row],[UACS]],2)*1</f>
        <v>0</v>
      </c>
      <c r="D184" s="54">
        <v>10501022</v>
      </c>
      <c r="E184" s="54">
        <f ca="1">IF(ISNUMBER(SEARCH($I$1,F184)),MAX($E$2:E183)+1,0)</f>
        <v>0</v>
      </c>
      <c r="F184" s="56" t="s">
        <v>260</v>
      </c>
      <c r="H184" s="55" t="str">
        <f ca="1">IFERROR(VLOOKUP(ROWS($H$3:H184),E:F,2,0),"")</f>
        <v/>
      </c>
    </row>
    <row r="185" spans="1:8" x14ac:dyDescent="0.25">
      <c r="A185" s="54">
        <v>1059901000</v>
      </c>
      <c r="B185" s="54">
        <v>10599010</v>
      </c>
      <c r="C185" s="54">
        <f>RIGHT(Table1[[#This Row],[UACS]],2)*1</f>
        <v>0</v>
      </c>
      <c r="D185" s="54">
        <v>10599010</v>
      </c>
      <c r="E185" s="54">
        <f ca="1">IF(ISNUMBER(SEARCH($I$1,F185)),MAX($E$2:E184)+1,0)</f>
        <v>0</v>
      </c>
      <c r="F185" s="56" t="s">
        <v>261</v>
      </c>
      <c r="H185" s="55" t="str">
        <f ca="1">IFERROR(VLOOKUP(ROWS($H$3:H185),E:F,2,0),"")</f>
        <v/>
      </c>
    </row>
    <row r="186" spans="1:8" x14ac:dyDescent="0.25">
      <c r="A186" s="54">
        <v>1060101000</v>
      </c>
      <c r="B186" s="54">
        <v>10601010</v>
      </c>
      <c r="C186" s="54">
        <f>RIGHT(Table1[[#This Row],[UACS]],2)*1</f>
        <v>0</v>
      </c>
      <c r="D186" s="54">
        <v>10601010</v>
      </c>
      <c r="E186" s="54">
        <f ca="1">IF(ISNUMBER(SEARCH($I$1,F186)),MAX($E$2:E185)+1,0)</f>
        <v>0</v>
      </c>
      <c r="F186" s="56" t="s">
        <v>262</v>
      </c>
      <c r="H186" s="55" t="str">
        <f ca="1">IFERROR(VLOOKUP(ROWS($H$3:H186),E:F,2,0),"")</f>
        <v/>
      </c>
    </row>
    <row r="187" spans="1:8" x14ac:dyDescent="0.25">
      <c r="A187" s="54">
        <v>1060101100</v>
      </c>
      <c r="B187" s="54">
        <v>10601011</v>
      </c>
      <c r="C187" s="54">
        <f>RIGHT(Table1[[#This Row],[UACS]],2)*1</f>
        <v>0</v>
      </c>
      <c r="D187" s="54">
        <v>10601011</v>
      </c>
      <c r="E187" s="54">
        <f ca="1">IF(ISNUMBER(SEARCH($I$1,F187)),MAX($E$2:E186)+1,0)</f>
        <v>0</v>
      </c>
      <c r="F187" s="56" t="s">
        <v>263</v>
      </c>
      <c r="H187" s="55" t="str">
        <f ca="1">IFERROR(VLOOKUP(ROWS($H$3:H187),E:F,2,0),"")</f>
        <v/>
      </c>
    </row>
    <row r="188" spans="1:8" x14ac:dyDescent="0.25">
      <c r="A188" s="54">
        <v>1060201000</v>
      </c>
      <c r="B188" s="54">
        <v>10602010</v>
      </c>
      <c r="C188" s="54">
        <f>RIGHT(Table1[[#This Row],[UACS]],2)*1</f>
        <v>0</v>
      </c>
      <c r="D188" s="54">
        <v>10602010</v>
      </c>
      <c r="E188" s="54">
        <f ca="1">IF(ISNUMBER(SEARCH($I$1,F188)),MAX($E$2:E187)+1,0)</f>
        <v>0</v>
      </c>
      <c r="F188" s="56" t="s">
        <v>264</v>
      </c>
      <c r="H188" s="55" t="str">
        <f ca="1">IFERROR(VLOOKUP(ROWS($H$3:H188),E:F,2,0),"")</f>
        <v/>
      </c>
    </row>
    <row r="189" spans="1:8" x14ac:dyDescent="0.25">
      <c r="A189" s="54">
        <v>1060201100</v>
      </c>
      <c r="B189" s="54">
        <v>10602011</v>
      </c>
      <c r="C189" s="54">
        <f>RIGHT(Table1[[#This Row],[UACS]],2)*1</f>
        <v>0</v>
      </c>
      <c r="D189" s="54">
        <v>10602011</v>
      </c>
      <c r="E189" s="54">
        <f ca="1">IF(ISNUMBER(SEARCH($I$1,F189)),MAX($E$2:E188)+1,0)</f>
        <v>0</v>
      </c>
      <c r="F189" s="56" t="s">
        <v>265</v>
      </c>
      <c r="H189" s="55" t="str">
        <f ca="1">IFERROR(VLOOKUP(ROWS($H$3:H189),E:F,2,0),"")</f>
        <v/>
      </c>
    </row>
    <row r="190" spans="1:8" x14ac:dyDescent="0.25">
      <c r="A190" s="54">
        <v>1060201200</v>
      </c>
      <c r="B190" s="54">
        <v>10602012</v>
      </c>
      <c r="C190" s="54">
        <f>RIGHT(Table1[[#This Row],[UACS]],2)*1</f>
        <v>0</v>
      </c>
      <c r="D190" s="54">
        <v>10602012</v>
      </c>
      <c r="E190" s="54">
        <f ca="1">IF(ISNUMBER(SEARCH($I$1,F190)),MAX($E$2:E189)+1,0)</f>
        <v>0</v>
      </c>
      <c r="F190" s="56" t="s">
        <v>266</v>
      </c>
      <c r="H190" s="55" t="str">
        <f ca="1">IFERROR(VLOOKUP(ROWS($H$3:H190),E:F,2,0),"")</f>
        <v/>
      </c>
    </row>
    <row r="191" spans="1:8" x14ac:dyDescent="0.25">
      <c r="A191" s="54">
        <v>1060202000</v>
      </c>
      <c r="B191" s="54">
        <v>10602020</v>
      </c>
      <c r="C191" s="54">
        <f>RIGHT(Table1[[#This Row],[UACS]],2)*1</f>
        <v>0</v>
      </c>
      <c r="D191" s="54">
        <v>10602020</v>
      </c>
      <c r="E191" s="54">
        <f ca="1">IF(ISNUMBER(SEARCH($I$1,F191)),MAX($E$2:E190)+1,0)</f>
        <v>0</v>
      </c>
      <c r="F191" s="56" t="s">
        <v>267</v>
      </c>
      <c r="H191" s="55" t="str">
        <f ca="1">IFERROR(VLOOKUP(ROWS($H$3:H191),E:F,2,0),"")</f>
        <v/>
      </c>
    </row>
    <row r="192" spans="1:8" x14ac:dyDescent="0.25">
      <c r="A192" s="54">
        <v>1060202100</v>
      </c>
      <c r="B192" s="54">
        <v>10602021</v>
      </c>
      <c r="C192" s="54">
        <f>RIGHT(Table1[[#This Row],[UACS]],2)*1</f>
        <v>0</v>
      </c>
      <c r="D192" s="54">
        <v>10602021</v>
      </c>
      <c r="E192" s="54">
        <f ca="1">IF(ISNUMBER(SEARCH($I$1,F192)),MAX($E$2:E191)+1,0)</f>
        <v>0</v>
      </c>
      <c r="F192" s="56" t="s">
        <v>268</v>
      </c>
      <c r="H192" s="55" t="str">
        <f ca="1">IFERROR(VLOOKUP(ROWS($H$3:H192),E:F,2,0),"")</f>
        <v/>
      </c>
    </row>
    <row r="193" spans="1:8" x14ac:dyDescent="0.25">
      <c r="A193" s="54">
        <v>1060299000</v>
      </c>
      <c r="B193" s="54">
        <v>10602990</v>
      </c>
      <c r="C193" s="54">
        <f>RIGHT(Table1[[#This Row],[UACS]],2)*1</f>
        <v>0</v>
      </c>
      <c r="D193" s="54">
        <v>10602990</v>
      </c>
      <c r="E193" s="54">
        <f ca="1">IF(ISNUMBER(SEARCH($I$1,F193)),MAX($E$2:E192)+1,0)</f>
        <v>0</v>
      </c>
      <c r="F193" s="56" t="s">
        <v>269</v>
      </c>
      <c r="H193" s="55" t="str">
        <f ca="1">IFERROR(VLOOKUP(ROWS($H$3:H193),E:F,2,0),"")</f>
        <v/>
      </c>
    </row>
    <row r="194" spans="1:8" x14ac:dyDescent="0.25">
      <c r="A194" s="54">
        <v>1060299100</v>
      </c>
      <c r="B194" s="54">
        <v>10602991</v>
      </c>
      <c r="C194" s="54">
        <f>RIGHT(Table1[[#This Row],[UACS]],2)*1</f>
        <v>0</v>
      </c>
      <c r="D194" s="54">
        <v>10602991</v>
      </c>
      <c r="E194" s="54">
        <f ca="1">IF(ISNUMBER(SEARCH($I$1,F194)),MAX($E$2:E193)+1,0)</f>
        <v>0</v>
      </c>
      <c r="F194" s="56" t="s">
        <v>270</v>
      </c>
      <c r="H194" s="55" t="str">
        <f ca="1">IFERROR(VLOOKUP(ROWS($H$3:H194),E:F,2,0),"")</f>
        <v/>
      </c>
    </row>
    <row r="195" spans="1:8" x14ac:dyDescent="0.25">
      <c r="A195" s="54">
        <v>1060299200</v>
      </c>
      <c r="B195" s="54">
        <v>10602992</v>
      </c>
      <c r="C195" s="54">
        <f>RIGHT(Table1[[#This Row],[UACS]],2)*1</f>
        <v>0</v>
      </c>
      <c r="D195" s="54">
        <v>10602992</v>
      </c>
      <c r="E195" s="54">
        <f ca="1">IF(ISNUMBER(SEARCH($I$1,F195)),MAX($E$2:E194)+1,0)</f>
        <v>0</v>
      </c>
      <c r="F195" s="56" t="s">
        <v>271</v>
      </c>
      <c r="H195" s="55" t="str">
        <f ca="1">IFERROR(VLOOKUP(ROWS($H$3:H195),E:F,2,0),"")</f>
        <v/>
      </c>
    </row>
    <row r="196" spans="1:8" x14ac:dyDescent="0.25">
      <c r="A196" s="54">
        <v>1060301000</v>
      </c>
      <c r="B196" s="54">
        <v>10603010</v>
      </c>
      <c r="C196" s="54">
        <f>RIGHT(Table1[[#This Row],[UACS]],2)*1</f>
        <v>0</v>
      </c>
      <c r="D196" s="54">
        <v>10603010</v>
      </c>
      <c r="E196" s="54">
        <f ca="1">IF(ISNUMBER(SEARCH($I$1,F196)),MAX($E$2:E195)+1,0)</f>
        <v>0</v>
      </c>
      <c r="F196" s="56" t="s">
        <v>272</v>
      </c>
      <c r="H196" s="55" t="str">
        <f ca="1">IFERROR(VLOOKUP(ROWS($H$3:H196),E:F,2,0),"")</f>
        <v/>
      </c>
    </row>
    <row r="197" spans="1:8" x14ac:dyDescent="0.25">
      <c r="A197" s="54">
        <v>1060301100</v>
      </c>
      <c r="B197" s="54">
        <v>10603011</v>
      </c>
      <c r="C197" s="54">
        <f>RIGHT(Table1[[#This Row],[UACS]],2)*1</f>
        <v>0</v>
      </c>
      <c r="D197" s="54">
        <v>10603011</v>
      </c>
      <c r="E197" s="54">
        <f ca="1">IF(ISNUMBER(SEARCH($I$1,F197)),MAX($E$2:E196)+1,0)</f>
        <v>0</v>
      </c>
      <c r="F197" s="56" t="s">
        <v>273</v>
      </c>
      <c r="H197" s="55" t="str">
        <f ca="1">IFERROR(VLOOKUP(ROWS($H$3:H197),E:F,2,0),"")</f>
        <v/>
      </c>
    </row>
    <row r="198" spans="1:8" x14ac:dyDescent="0.25">
      <c r="A198" s="54">
        <v>1060301200</v>
      </c>
      <c r="B198" s="54">
        <v>10603012</v>
      </c>
      <c r="C198" s="54">
        <f>RIGHT(Table1[[#This Row],[UACS]],2)*1</f>
        <v>0</v>
      </c>
      <c r="D198" s="54">
        <v>10603012</v>
      </c>
      <c r="E198" s="54">
        <f ca="1">IF(ISNUMBER(SEARCH($I$1,F198)),MAX($E$2:E197)+1,0)</f>
        <v>0</v>
      </c>
      <c r="F198" s="56" t="s">
        <v>274</v>
      </c>
      <c r="H198" s="55" t="str">
        <f ca="1">IFERROR(VLOOKUP(ROWS($H$3:H198),E:F,2,0),"")</f>
        <v/>
      </c>
    </row>
    <row r="199" spans="1:8" x14ac:dyDescent="0.25">
      <c r="A199" s="54">
        <v>1060302000</v>
      </c>
      <c r="B199" s="54">
        <v>10603020</v>
      </c>
      <c r="C199" s="54">
        <f>RIGHT(Table1[[#This Row],[UACS]],2)*1</f>
        <v>0</v>
      </c>
      <c r="D199" s="54">
        <v>10603020</v>
      </c>
      <c r="E199" s="54">
        <f ca="1">IF(ISNUMBER(SEARCH($I$1,F199)),MAX($E$2:E198)+1,0)</f>
        <v>0</v>
      </c>
      <c r="F199" s="56" t="s">
        <v>275</v>
      </c>
      <c r="H199" s="55" t="str">
        <f ca="1">IFERROR(VLOOKUP(ROWS($H$3:H199),E:F,2,0),"")</f>
        <v/>
      </c>
    </row>
    <row r="200" spans="1:8" x14ac:dyDescent="0.25">
      <c r="A200" s="54">
        <v>1060302100</v>
      </c>
      <c r="B200" s="54">
        <v>10603021</v>
      </c>
      <c r="C200" s="54">
        <f>RIGHT(Table1[[#This Row],[UACS]],2)*1</f>
        <v>0</v>
      </c>
      <c r="D200" s="54">
        <v>10603021</v>
      </c>
      <c r="E200" s="54">
        <f ca="1">IF(ISNUMBER(SEARCH($I$1,F200)),MAX($E$2:E199)+1,0)</f>
        <v>0</v>
      </c>
      <c r="F200" s="56" t="s">
        <v>276</v>
      </c>
      <c r="H200" s="55" t="str">
        <f ca="1">IFERROR(VLOOKUP(ROWS($H$3:H200),E:F,2,0),"")</f>
        <v/>
      </c>
    </row>
    <row r="201" spans="1:8" x14ac:dyDescent="0.25">
      <c r="A201" s="54">
        <v>1060302200</v>
      </c>
      <c r="B201" s="54">
        <v>10603022</v>
      </c>
      <c r="C201" s="54">
        <f>RIGHT(Table1[[#This Row],[UACS]],2)*1</f>
        <v>0</v>
      </c>
      <c r="D201" s="54">
        <v>10603022</v>
      </c>
      <c r="E201" s="54">
        <f ca="1">IF(ISNUMBER(SEARCH($I$1,F201)),MAX($E$2:E200)+1,0)</f>
        <v>0</v>
      </c>
      <c r="F201" s="56" t="s">
        <v>277</v>
      </c>
      <c r="H201" s="55" t="str">
        <f ca="1">IFERROR(VLOOKUP(ROWS($H$3:H201),E:F,2,0),"")</f>
        <v/>
      </c>
    </row>
    <row r="202" spans="1:8" x14ac:dyDescent="0.25">
      <c r="A202" s="54">
        <v>1060303000</v>
      </c>
      <c r="B202" s="54">
        <v>10603030</v>
      </c>
      <c r="C202" s="54">
        <f>RIGHT(Table1[[#This Row],[UACS]],2)*1</f>
        <v>0</v>
      </c>
      <c r="D202" s="54">
        <v>10603030</v>
      </c>
      <c r="E202" s="54">
        <f ca="1">IF(ISNUMBER(SEARCH($I$1,F202)),MAX($E$2:E201)+1,0)</f>
        <v>0</v>
      </c>
      <c r="F202" s="56" t="s">
        <v>278</v>
      </c>
      <c r="H202" s="55" t="str">
        <f ca="1">IFERROR(VLOOKUP(ROWS($H$3:H202),E:F,2,0),"")</f>
        <v/>
      </c>
    </row>
    <row r="203" spans="1:8" x14ac:dyDescent="0.25">
      <c r="A203" s="54">
        <v>1060303100</v>
      </c>
      <c r="B203" s="54">
        <v>10603031</v>
      </c>
      <c r="C203" s="54">
        <f>RIGHT(Table1[[#This Row],[UACS]],2)*1</f>
        <v>0</v>
      </c>
      <c r="D203" s="54">
        <v>10603031</v>
      </c>
      <c r="E203" s="54">
        <f ca="1">IF(ISNUMBER(SEARCH($I$1,F203)),MAX($E$2:E202)+1,0)</f>
        <v>0</v>
      </c>
      <c r="F203" s="56" t="s">
        <v>279</v>
      </c>
      <c r="H203" s="55" t="str">
        <f ca="1">IFERROR(VLOOKUP(ROWS($H$3:H203),E:F,2,0),"")</f>
        <v/>
      </c>
    </row>
    <row r="204" spans="1:8" x14ac:dyDescent="0.25">
      <c r="A204" s="54">
        <v>1060303200</v>
      </c>
      <c r="B204" s="54">
        <v>10603032</v>
      </c>
      <c r="C204" s="54">
        <f>RIGHT(Table1[[#This Row],[UACS]],2)*1</f>
        <v>0</v>
      </c>
      <c r="D204" s="54">
        <v>10603032</v>
      </c>
      <c r="E204" s="54">
        <f ca="1">IF(ISNUMBER(SEARCH($I$1,F204)),MAX($E$2:E203)+1,0)</f>
        <v>0</v>
      </c>
      <c r="F204" s="56" t="s">
        <v>280</v>
      </c>
      <c r="H204" s="55" t="str">
        <f ca="1">IFERROR(VLOOKUP(ROWS($H$3:H204),E:F,2,0),"")</f>
        <v/>
      </c>
    </row>
    <row r="205" spans="1:8" x14ac:dyDescent="0.25">
      <c r="A205" s="54">
        <v>1060304000</v>
      </c>
      <c r="B205" s="54">
        <v>10603040</v>
      </c>
      <c r="C205" s="54">
        <f>RIGHT(Table1[[#This Row],[UACS]],2)*1</f>
        <v>0</v>
      </c>
      <c r="D205" s="54">
        <v>10603040</v>
      </c>
      <c r="E205" s="54">
        <f ca="1">IF(ISNUMBER(SEARCH($I$1,F205)),MAX($E$2:E204)+1,0)</f>
        <v>0</v>
      </c>
      <c r="F205" s="56" t="s">
        <v>281</v>
      </c>
      <c r="H205" s="55" t="str">
        <f ca="1">IFERROR(VLOOKUP(ROWS($H$3:H205),E:F,2,0),"")</f>
        <v/>
      </c>
    </row>
    <row r="206" spans="1:8" x14ac:dyDescent="0.25">
      <c r="A206" s="54">
        <v>1060304100</v>
      </c>
      <c r="B206" s="54">
        <v>10603041</v>
      </c>
      <c r="C206" s="54">
        <f>RIGHT(Table1[[#This Row],[UACS]],2)*1</f>
        <v>0</v>
      </c>
      <c r="D206" s="54">
        <v>10603041</v>
      </c>
      <c r="E206" s="54">
        <f ca="1">IF(ISNUMBER(SEARCH($I$1,F206)),MAX($E$2:E205)+1,0)</f>
        <v>0</v>
      </c>
      <c r="F206" s="56" t="s">
        <v>282</v>
      </c>
      <c r="H206" s="55" t="str">
        <f ca="1">IFERROR(VLOOKUP(ROWS($H$3:H206),E:F,2,0),"")</f>
        <v/>
      </c>
    </row>
    <row r="207" spans="1:8" x14ac:dyDescent="0.25">
      <c r="A207" s="54">
        <v>1060304200</v>
      </c>
      <c r="B207" s="54">
        <v>10603042</v>
      </c>
      <c r="C207" s="54">
        <f>RIGHT(Table1[[#This Row],[UACS]],2)*1</f>
        <v>0</v>
      </c>
      <c r="D207" s="54">
        <v>10603042</v>
      </c>
      <c r="E207" s="54">
        <f ca="1">IF(ISNUMBER(SEARCH($I$1,F207)),MAX($E$2:E206)+1,0)</f>
        <v>0</v>
      </c>
      <c r="F207" s="56" t="s">
        <v>283</v>
      </c>
      <c r="H207" s="55" t="str">
        <f ca="1">IFERROR(VLOOKUP(ROWS($H$3:H207),E:F,2,0),"")</f>
        <v/>
      </c>
    </row>
    <row r="208" spans="1:8" x14ac:dyDescent="0.25">
      <c r="A208" s="54">
        <v>1060305000</v>
      </c>
      <c r="B208" s="54">
        <v>10603050</v>
      </c>
      <c r="C208" s="54">
        <f>RIGHT(Table1[[#This Row],[UACS]],2)*1</f>
        <v>0</v>
      </c>
      <c r="D208" s="54">
        <v>10603050</v>
      </c>
      <c r="E208" s="54">
        <f ca="1">IF(ISNUMBER(SEARCH($I$1,F208)),MAX($E$2:E207)+1,0)</f>
        <v>0</v>
      </c>
      <c r="F208" s="56" t="s">
        <v>284</v>
      </c>
      <c r="H208" s="55" t="str">
        <f ca="1">IFERROR(VLOOKUP(ROWS($H$3:H208),E:F,2,0),"")</f>
        <v/>
      </c>
    </row>
    <row r="209" spans="1:8" x14ac:dyDescent="0.25">
      <c r="A209" s="54">
        <v>1060305100</v>
      </c>
      <c r="B209" s="54">
        <v>10603051</v>
      </c>
      <c r="C209" s="54">
        <f>RIGHT(Table1[[#This Row],[UACS]],2)*1</f>
        <v>0</v>
      </c>
      <c r="D209" s="54">
        <v>10603051</v>
      </c>
      <c r="E209" s="54">
        <f ca="1">IF(ISNUMBER(SEARCH($I$1,F209)),MAX($E$2:E208)+1,0)</f>
        <v>0</v>
      </c>
      <c r="F209" s="56" t="s">
        <v>285</v>
      </c>
      <c r="H209" s="55" t="str">
        <f ca="1">IFERROR(VLOOKUP(ROWS($H$3:H209),E:F,2,0),"")</f>
        <v/>
      </c>
    </row>
    <row r="210" spans="1:8" x14ac:dyDescent="0.25">
      <c r="A210" s="54">
        <v>1060305200</v>
      </c>
      <c r="B210" s="54">
        <v>10603052</v>
      </c>
      <c r="C210" s="54">
        <f>RIGHT(Table1[[#This Row],[UACS]],2)*1</f>
        <v>0</v>
      </c>
      <c r="D210" s="54">
        <v>10603052</v>
      </c>
      <c r="E210" s="54">
        <f ca="1">IF(ISNUMBER(SEARCH($I$1,F210)),MAX($E$2:E209)+1,0)</f>
        <v>0</v>
      </c>
      <c r="F210" s="56" t="s">
        <v>286</v>
      </c>
      <c r="H210" s="55" t="str">
        <f ca="1">IFERROR(VLOOKUP(ROWS($H$3:H210),E:F,2,0),"")</f>
        <v/>
      </c>
    </row>
    <row r="211" spans="1:8" x14ac:dyDescent="0.25">
      <c r="A211" s="54">
        <v>1060306000</v>
      </c>
      <c r="B211" s="54">
        <v>10603060</v>
      </c>
      <c r="C211" s="54">
        <f>RIGHT(Table1[[#This Row],[UACS]],2)*1</f>
        <v>0</v>
      </c>
      <c r="D211" s="54">
        <v>10603060</v>
      </c>
      <c r="E211" s="54">
        <f ca="1">IF(ISNUMBER(SEARCH($I$1,F211)),MAX($E$2:E210)+1,0)</f>
        <v>0</v>
      </c>
      <c r="F211" s="56" t="s">
        <v>287</v>
      </c>
      <c r="H211" s="55" t="str">
        <f ca="1">IFERROR(VLOOKUP(ROWS($H$3:H211),E:F,2,0),"")</f>
        <v/>
      </c>
    </row>
    <row r="212" spans="1:8" x14ac:dyDescent="0.25">
      <c r="A212" s="54">
        <v>1060306100</v>
      </c>
      <c r="B212" s="54">
        <v>10603061</v>
      </c>
      <c r="C212" s="54">
        <f>RIGHT(Table1[[#This Row],[UACS]],2)*1</f>
        <v>0</v>
      </c>
      <c r="D212" s="54">
        <v>10603061</v>
      </c>
      <c r="E212" s="54">
        <f ca="1">IF(ISNUMBER(SEARCH($I$1,F212)),MAX($E$2:E211)+1,0)</f>
        <v>0</v>
      </c>
      <c r="F212" s="56" t="s">
        <v>288</v>
      </c>
      <c r="H212" s="55" t="str">
        <f ca="1">IFERROR(VLOOKUP(ROWS($H$3:H212),E:F,2,0),"")</f>
        <v/>
      </c>
    </row>
    <row r="213" spans="1:8" x14ac:dyDescent="0.25">
      <c r="A213" s="54">
        <v>1060306200</v>
      </c>
      <c r="B213" s="54">
        <v>10603062</v>
      </c>
      <c r="C213" s="54">
        <f>RIGHT(Table1[[#This Row],[UACS]],2)*1</f>
        <v>0</v>
      </c>
      <c r="D213" s="54">
        <v>10603062</v>
      </c>
      <c r="E213" s="54">
        <f ca="1">IF(ISNUMBER(SEARCH($I$1,F213)),MAX($E$2:E212)+1,0)</f>
        <v>0</v>
      </c>
      <c r="F213" s="56" t="s">
        <v>289</v>
      </c>
      <c r="H213" s="55" t="str">
        <f ca="1">IFERROR(VLOOKUP(ROWS($H$3:H213),E:F,2,0),"")</f>
        <v/>
      </c>
    </row>
    <row r="214" spans="1:8" x14ac:dyDescent="0.25">
      <c r="A214" s="54">
        <v>1060307000</v>
      </c>
      <c r="B214" s="54">
        <v>10603070</v>
      </c>
      <c r="C214" s="54">
        <f>RIGHT(Table1[[#This Row],[UACS]],2)*1</f>
        <v>0</v>
      </c>
      <c r="D214" s="54">
        <v>10603070</v>
      </c>
      <c r="E214" s="54">
        <f ca="1">IF(ISNUMBER(SEARCH($I$1,F214)),MAX($E$2:E213)+1,0)</f>
        <v>0</v>
      </c>
      <c r="F214" s="56" t="s">
        <v>290</v>
      </c>
      <c r="H214" s="55" t="str">
        <f ca="1">IFERROR(VLOOKUP(ROWS($H$3:H214),E:F,2,0),"")</f>
        <v/>
      </c>
    </row>
    <row r="215" spans="1:8" x14ac:dyDescent="0.25">
      <c r="A215" s="54">
        <v>1060307100</v>
      </c>
      <c r="B215" s="54">
        <v>10603071</v>
      </c>
      <c r="C215" s="54">
        <f>RIGHT(Table1[[#This Row],[UACS]],2)*1</f>
        <v>0</v>
      </c>
      <c r="D215" s="54">
        <v>10603071</v>
      </c>
      <c r="E215" s="54">
        <f ca="1">IF(ISNUMBER(SEARCH($I$1,F215)),MAX($E$2:E214)+1,0)</f>
        <v>0</v>
      </c>
      <c r="F215" s="56" t="s">
        <v>291</v>
      </c>
      <c r="H215" s="55" t="str">
        <f ca="1">IFERROR(VLOOKUP(ROWS($H$3:H215),E:F,2,0),"")</f>
        <v/>
      </c>
    </row>
    <row r="216" spans="1:8" x14ac:dyDescent="0.25">
      <c r="A216" s="54">
        <v>1060307200</v>
      </c>
      <c r="B216" s="54">
        <v>10603072</v>
      </c>
      <c r="C216" s="54">
        <f>RIGHT(Table1[[#This Row],[UACS]],2)*1</f>
        <v>0</v>
      </c>
      <c r="D216" s="54">
        <v>10603072</v>
      </c>
      <c r="E216" s="54">
        <f ca="1">IF(ISNUMBER(SEARCH($I$1,F216)),MAX($E$2:E215)+1,0)</f>
        <v>0</v>
      </c>
      <c r="F216" s="56" t="s">
        <v>292</v>
      </c>
      <c r="H216" s="55" t="str">
        <f ca="1">IFERROR(VLOOKUP(ROWS($H$3:H216),E:F,2,0),"")</f>
        <v/>
      </c>
    </row>
    <row r="217" spans="1:8" x14ac:dyDescent="0.25">
      <c r="A217" s="54">
        <v>1060308000</v>
      </c>
      <c r="B217" s="54">
        <v>10603080</v>
      </c>
      <c r="C217" s="54">
        <f>RIGHT(Table1[[#This Row],[UACS]],2)*1</f>
        <v>0</v>
      </c>
      <c r="D217" s="54">
        <v>10603080</v>
      </c>
      <c r="E217" s="54">
        <f ca="1">IF(ISNUMBER(SEARCH($I$1,F217)),MAX($E$2:E216)+1,0)</f>
        <v>0</v>
      </c>
      <c r="F217" s="56" t="s">
        <v>293</v>
      </c>
      <c r="H217" s="55" t="str">
        <f ca="1">IFERROR(VLOOKUP(ROWS($H$3:H217),E:F,2,0),"")</f>
        <v/>
      </c>
    </row>
    <row r="218" spans="1:8" x14ac:dyDescent="0.25">
      <c r="A218" s="54">
        <v>1060308100</v>
      </c>
      <c r="B218" s="54">
        <v>10603081</v>
      </c>
      <c r="C218" s="54">
        <f>RIGHT(Table1[[#This Row],[UACS]],2)*1</f>
        <v>0</v>
      </c>
      <c r="D218" s="54">
        <v>10603081</v>
      </c>
      <c r="E218" s="54">
        <f ca="1">IF(ISNUMBER(SEARCH($I$1,F218)),MAX($E$2:E217)+1,0)</f>
        <v>0</v>
      </c>
      <c r="F218" s="56" t="s">
        <v>294</v>
      </c>
      <c r="H218" s="55" t="str">
        <f ca="1">IFERROR(VLOOKUP(ROWS($H$3:H218),E:F,2,0),"")</f>
        <v/>
      </c>
    </row>
    <row r="219" spans="1:8" x14ac:dyDescent="0.25">
      <c r="A219" s="54">
        <v>1060308200</v>
      </c>
      <c r="B219" s="54">
        <v>10603082</v>
      </c>
      <c r="C219" s="54">
        <f>RIGHT(Table1[[#This Row],[UACS]],2)*1</f>
        <v>0</v>
      </c>
      <c r="D219" s="54">
        <v>10603082</v>
      </c>
      <c r="E219" s="54">
        <f ca="1">IF(ISNUMBER(SEARCH($I$1,F219)),MAX($E$2:E218)+1,0)</f>
        <v>0</v>
      </c>
      <c r="F219" s="56" t="s">
        <v>295</v>
      </c>
      <c r="H219" s="55" t="str">
        <f ca="1">IFERROR(VLOOKUP(ROWS($H$3:H219),E:F,2,0),"")</f>
        <v/>
      </c>
    </row>
    <row r="220" spans="1:8" x14ac:dyDescent="0.25">
      <c r="A220" s="54">
        <v>1060309000</v>
      </c>
      <c r="B220" s="54">
        <v>10603090</v>
      </c>
      <c r="C220" s="54">
        <f>RIGHT(Table1[[#This Row],[UACS]],2)*1</f>
        <v>0</v>
      </c>
      <c r="D220" s="54">
        <v>10603090</v>
      </c>
      <c r="E220" s="54">
        <f ca="1">IF(ISNUMBER(SEARCH($I$1,F220)),MAX($E$2:E219)+1,0)</f>
        <v>0</v>
      </c>
      <c r="F220" s="56" t="s">
        <v>296</v>
      </c>
      <c r="H220" s="55" t="str">
        <f ca="1">IFERROR(VLOOKUP(ROWS($H$3:H220),E:F,2,0),"")</f>
        <v/>
      </c>
    </row>
    <row r="221" spans="1:8" x14ac:dyDescent="0.25">
      <c r="A221" s="54">
        <v>1060309100</v>
      </c>
      <c r="B221" s="54">
        <v>10603091</v>
      </c>
      <c r="C221" s="54">
        <f>RIGHT(Table1[[#This Row],[UACS]],2)*1</f>
        <v>0</v>
      </c>
      <c r="D221" s="54">
        <v>10603091</v>
      </c>
      <c r="E221" s="54">
        <f ca="1">IF(ISNUMBER(SEARCH($I$1,F221)),MAX($E$2:E220)+1,0)</f>
        <v>0</v>
      </c>
      <c r="F221" s="56" t="s">
        <v>297</v>
      </c>
      <c r="H221" s="55" t="str">
        <f ca="1">IFERROR(VLOOKUP(ROWS($H$3:H221),E:F,2,0),"")</f>
        <v/>
      </c>
    </row>
    <row r="222" spans="1:8" x14ac:dyDescent="0.25">
      <c r="A222" s="54">
        <v>1060309200</v>
      </c>
      <c r="B222" s="54">
        <v>10603092</v>
      </c>
      <c r="C222" s="54">
        <f>RIGHT(Table1[[#This Row],[UACS]],2)*1</f>
        <v>0</v>
      </c>
      <c r="D222" s="54">
        <v>10603092</v>
      </c>
      <c r="E222" s="54">
        <f ca="1">IF(ISNUMBER(SEARCH($I$1,F222)),MAX($E$2:E221)+1,0)</f>
        <v>0</v>
      </c>
      <c r="F222" s="56" t="s">
        <v>298</v>
      </c>
      <c r="H222" s="55" t="str">
        <f ca="1">IFERROR(VLOOKUP(ROWS($H$3:H222),E:F,2,0),"")</f>
        <v/>
      </c>
    </row>
    <row r="223" spans="1:8" x14ac:dyDescent="0.25">
      <c r="A223" s="54">
        <v>1060310000</v>
      </c>
      <c r="B223" s="54">
        <v>10603100</v>
      </c>
      <c r="C223" s="54">
        <f>RIGHT(Table1[[#This Row],[UACS]],2)*1</f>
        <v>0</v>
      </c>
      <c r="D223" s="54">
        <v>10603100</v>
      </c>
      <c r="E223" s="54">
        <f ca="1">IF(ISNUMBER(SEARCH($I$1,F223)),MAX($E$2:E222)+1,0)</f>
        <v>0</v>
      </c>
      <c r="F223" s="56" t="s">
        <v>299</v>
      </c>
      <c r="H223" s="55" t="str">
        <f ca="1">IFERROR(VLOOKUP(ROWS($H$3:H223),E:F,2,0),"")</f>
        <v/>
      </c>
    </row>
    <row r="224" spans="1:8" x14ac:dyDescent="0.25">
      <c r="A224" s="54">
        <v>1060310100</v>
      </c>
      <c r="B224" s="54">
        <v>10603101</v>
      </c>
      <c r="C224" s="54">
        <f>RIGHT(Table1[[#This Row],[UACS]],2)*1</f>
        <v>0</v>
      </c>
      <c r="D224" s="54">
        <v>10603101</v>
      </c>
      <c r="E224" s="54">
        <f ca="1">IF(ISNUMBER(SEARCH($I$1,F224)),MAX($E$2:E223)+1,0)</f>
        <v>0</v>
      </c>
      <c r="F224" s="56" t="s">
        <v>300</v>
      </c>
      <c r="H224" s="55" t="str">
        <f ca="1">IFERROR(VLOOKUP(ROWS($H$3:H224),E:F,2,0),"")</f>
        <v/>
      </c>
    </row>
    <row r="225" spans="1:8" x14ac:dyDescent="0.25">
      <c r="A225" s="54">
        <v>1060310200</v>
      </c>
      <c r="B225" s="54">
        <v>10603102</v>
      </c>
      <c r="C225" s="54">
        <f>RIGHT(Table1[[#This Row],[UACS]],2)*1</f>
        <v>0</v>
      </c>
      <c r="D225" s="54">
        <v>10603102</v>
      </c>
      <c r="E225" s="54">
        <f ca="1">IF(ISNUMBER(SEARCH($I$1,F225)),MAX($E$2:E224)+1,0)</f>
        <v>0</v>
      </c>
      <c r="F225" s="56" t="s">
        <v>301</v>
      </c>
      <c r="H225" s="55" t="str">
        <f ca="1">IFERROR(VLOOKUP(ROWS($H$3:H225),E:F,2,0),"")</f>
        <v/>
      </c>
    </row>
    <row r="226" spans="1:8" x14ac:dyDescent="0.25">
      <c r="A226" s="54">
        <v>1060399000</v>
      </c>
      <c r="B226" s="54">
        <v>10603990</v>
      </c>
      <c r="C226" s="54">
        <f>RIGHT(Table1[[#This Row],[UACS]],2)*1</f>
        <v>0</v>
      </c>
      <c r="D226" s="54">
        <v>10603990</v>
      </c>
      <c r="E226" s="54">
        <f ca="1">IF(ISNUMBER(SEARCH($I$1,F226)),MAX($E$2:E225)+1,0)</f>
        <v>0</v>
      </c>
      <c r="F226" s="56" t="s">
        <v>302</v>
      </c>
      <c r="H226" s="55" t="str">
        <f ca="1">IFERROR(VLOOKUP(ROWS($H$3:H226),E:F,2,0),"")</f>
        <v/>
      </c>
    </row>
    <row r="227" spans="1:8" x14ac:dyDescent="0.25">
      <c r="A227" s="54">
        <v>1060399100</v>
      </c>
      <c r="B227" s="54">
        <v>10603991</v>
      </c>
      <c r="C227" s="54">
        <f>RIGHT(Table1[[#This Row],[UACS]],2)*1</f>
        <v>0</v>
      </c>
      <c r="D227" s="54">
        <v>10603991</v>
      </c>
      <c r="E227" s="54">
        <f ca="1">IF(ISNUMBER(SEARCH($I$1,F227)),MAX($E$2:E226)+1,0)</f>
        <v>0</v>
      </c>
      <c r="F227" s="56" t="s">
        <v>303</v>
      </c>
      <c r="H227" s="55" t="str">
        <f ca="1">IFERROR(VLOOKUP(ROWS($H$3:H227),E:F,2,0),"")</f>
        <v/>
      </c>
    </row>
    <row r="228" spans="1:8" x14ac:dyDescent="0.25">
      <c r="A228" s="54">
        <v>1060399200</v>
      </c>
      <c r="B228" s="54">
        <v>10603992</v>
      </c>
      <c r="C228" s="54">
        <f>RIGHT(Table1[[#This Row],[UACS]],2)*1</f>
        <v>0</v>
      </c>
      <c r="D228" s="54">
        <v>10603992</v>
      </c>
      <c r="E228" s="54">
        <f ca="1">IF(ISNUMBER(SEARCH($I$1,F228)),MAX($E$2:E227)+1,0)</f>
        <v>0</v>
      </c>
      <c r="F228" s="56" t="s">
        <v>304</v>
      </c>
      <c r="H228" s="55" t="str">
        <f ca="1">IFERROR(VLOOKUP(ROWS($H$3:H228),E:F,2,0),"")</f>
        <v/>
      </c>
    </row>
    <row r="229" spans="1:8" x14ac:dyDescent="0.25">
      <c r="A229" s="54">
        <v>1060401000</v>
      </c>
      <c r="B229" s="54">
        <v>10604010</v>
      </c>
      <c r="C229" s="54">
        <f>RIGHT(Table1[[#This Row],[UACS]],2)*1</f>
        <v>0</v>
      </c>
      <c r="D229" s="54">
        <v>10604010</v>
      </c>
      <c r="E229" s="54">
        <f ca="1">IF(ISNUMBER(SEARCH($I$1,F229)),MAX($E$2:E228)+1,0)</f>
        <v>0</v>
      </c>
      <c r="F229" s="56" t="s">
        <v>305</v>
      </c>
      <c r="H229" s="55" t="str">
        <f ca="1">IFERROR(VLOOKUP(ROWS($H$3:H229),E:F,2,0),"")</f>
        <v/>
      </c>
    </row>
    <row r="230" spans="1:8" x14ac:dyDescent="0.25">
      <c r="A230" s="54">
        <v>1060401100</v>
      </c>
      <c r="B230" s="54">
        <v>10604011</v>
      </c>
      <c r="C230" s="54">
        <f>RIGHT(Table1[[#This Row],[UACS]],2)*1</f>
        <v>0</v>
      </c>
      <c r="D230" s="54">
        <v>10604011</v>
      </c>
      <c r="E230" s="54">
        <f ca="1">IF(ISNUMBER(SEARCH($I$1,F230)),MAX($E$2:E229)+1,0)</f>
        <v>0</v>
      </c>
      <c r="F230" s="56" t="s">
        <v>306</v>
      </c>
      <c r="H230" s="55" t="str">
        <f ca="1">IFERROR(VLOOKUP(ROWS($H$3:H230),E:F,2,0),"")</f>
        <v/>
      </c>
    </row>
    <row r="231" spans="1:8" x14ac:dyDescent="0.25">
      <c r="A231" s="54">
        <v>1060401200</v>
      </c>
      <c r="B231" s="54">
        <v>10604012</v>
      </c>
      <c r="C231" s="54">
        <f>RIGHT(Table1[[#This Row],[UACS]],2)*1</f>
        <v>0</v>
      </c>
      <c r="D231" s="54">
        <v>10604012</v>
      </c>
      <c r="E231" s="54">
        <f ca="1">IF(ISNUMBER(SEARCH($I$1,F231)),MAX($E$2:E230)+1,0)</f>
        <v>0</v>
      </c>
      <c r="F231" s="56" t="s">
        <v>307</v>
      </c>
      <c r="H231" s="55" t="str">
        <f ca="1">IFERROR(VLOOKUP(ROWS($H$3:H231),E:F,2,0),"")</f>
        <v/>
      </c>
    </row>
    <row r="232" spans="1:8" x14ac:dyDescent="0.25">
      <c r="A232" s="54">
        <v>1060402000</v>
      </c>
      <c r="B232" s="54">
        <v>10604020</v>
      </c>
      <c r="C232" s="54">
        <f>RIGHT(Table1[[#This Row],[UACS]],2)*1</f>
        <v>0</v>
      </c>
      <c r="D232" s="54">
        <v>10604020</v>
      </c>
      <c r="E232" s="54">
        <f ca="1">IF(ISNUMBER(SEARCH($I$1,F232)),MAX($E$2:E231)+1,0)</f>
        <v>0</v>
      </c>
      <c r="F232" s="56" t="s">
        <v>308</v>
      </c>
      <c r="H232" s="55" t="str">
        <f ca="1">IFERROR(VLOOKUP(ROWS($H$3:H232),E:F,2,0),"")</f>
        <v/>
      </c>
    </row>
    <row r="233" spans="1:8" x14ac:dyDescent="0.25">
      <c r="A233" s="54">
        <v>1060402100</v>
      </c>
      <c r="B233" s="54">
        <v>10604021</v>
      </c>
      <c r="C233" s="54">
        <f>RIGHT(Table1[[#This Row],[UACS]],2)*1</f>
        <v>0</v>
      </c>
      <c r="D233" s="54">
        <v>10604021</v>
      </c>
      <c r="E233" s="54">
        <f ca="1">IF(ISNUMBER(SEARCH($I$1,F233)),MAX($E$2:E232)+1,0)</f>
        <v>0</v>
      </c>
      <c r="F233" s="56" t="s">
        <v>309</v>
      </c>
      <c r="H233" s="55" t="str">
        <f ca="1">IFERROR(VLOOKUP(ROWS($H$3:H233),E:F,2,0),"")</f>
        <v/>
      </c>
    </row>
    <row r="234" spans="1:8" x14ac:dyDescent="0.25">
      <c r="A234" s="54">
        <v>1060402200</v>
      </c>
      <c r="B234" s="54">
        <v>10604022</v>
      </c>
      <c r="C234" s="54">
        <f>RIGHT(Table1[[#This Row],[UACS]],2)*1</f>
        <v>0</v>
      </c>
      <c r="D234" s="54">
        <v>10604022</v>
      </c>
      <c r="E234" s="54">
        <f ca="1">IF(ISNUMBER(SEARCH($I$1,F234)),MAX($E$2:E233)+1,0)</f>
        <v>0</v>
      </c>
      <c r="F234" s="56" t="s">
        <v>310</v>
      </c>
      <c r="H234" s="55" t="str">
        <f ca="1">IFERROR(VLOOKUP(ROWS($H$3:H234),E:F,2,0),"")</f>
        <v/>
      </c>
    </row>
    <row r="235" spans="1:8" x14ac:dyDescent="0.25">
      <c r="A235" s="54">
        <v>1060403000</v>
      </c>
      <c r="B235" s="54">
        <v>10604030</v>
      </c>
      <c r="C235" s="54">
        <f>RIGHT(Table1[[#This Row],[UACS]],2)*1</f>
        <v>0</v>
      </c>
      <c r="D235" s="54">
        <v>10604030</v>
      </c>
      <c r="E235" s="54">
        <f ca="1">IF(ISNUMBER(SEARCH($I$1,F235)),MAX($E$2:E234)+1,0)</f>
        <v>0</v>
      </c>
      <c r="F235" s="56" t="s">
        <v>311</v>
      </c>
      <c r="H235" s="55" t="str">
        <f ca="1">IFERROR(VLOOKUP(ROWS($H$3:H235),E:F,2,0),"")</f>
        <v/>
      </c>
    </row>
    <row r="236" spans="1:8" x14ac:dyDescent="0.25">
      <c r="A236" s="54">
        <v>1060403100</v>
      </c>
      <c r="B236" s="54">
        <v>10604031</v>
      </c>
      <c r="C236" s="54">
        <f>RIGHT(Table1[[#This Row],[UACS]],2)*1</f>
        <v>0</v>
      </c>
      <c r="D236" s="54">
        <v>10604031</v>
      </c>
      <c r="E236" s="54">
        <f ca="1">IF(ISNUMBER(SEARCH($I$1,F236)),MAX($E$2:E235)+1,0)</f>
        <v>0</v>
      </c>
      <c r="F236" s="56" t="s">
        <v>312</v>
      </c>
      <c r="H236" s="55" t="str">
        <f ca="1">IFERROR(VLOOKUP(ROWS($H$3:H236),E:F,2,0),"")</f>
        <v/>
      </c>
    </row>
    <row r="237" spans="1:8" x14ac:dyDescent="0.25">
      <c r="A237" s="54">
        <v>1060403200</v>
      </c>
      <c r="B237" s="54">
        <v>10604032</v>
      </c>
      <c r="C237" s="54">
        <f>RIGHT(Table1[[#This Row],[UACS]],2)*1</f>
        <v>0</v>
      </c>
      <c r="D237" s="54">
        <v>10604032</v>
      </c>
      <c r="E237" s="54">
        <f ca="1">IF(ISNUMBER(SEARCH($I$1,F237)),MAX($E$2:E236)+1,0)</f>
        <v>0</v>
      </c>
      <c r="F237" s="56" t="s">
        <v>313</v>
      </c>
      <c r="H237" s="55" t="str">
        <f ca="1">IFERROR(VLOOKUP(ROWS($H$3:H237),E:F,2,0),"")</f>
        <v/>
      </c>
    </row>
    <row r="238" spans="1:8" x14ac:dyDescent="0.25">
      <c r="A238" s="54">
        <v>1060404000</v>
      </c>
      <c r="B238" s="54">
        <v>10604040</v>
      </c>
      <c r="C238" s="54">
        <f>RIGHT(Table1[[#This Row],[UACS]],2)*1</f>
        <v>0</v>
      </c>
      <c r="D238" s="54">
        <v>10604040</v>
      </c>
      <c r="E238" s="54">
        <f ca="1">IF(ISNUMBER(SEARCH($I$1,F238)),MAX($E$2:E237)+1,0)</f>
        <v>0</v>
      </c>
      <c r="F238" s="56" t="s">
        <v>314</v>
      </c>
      <c r="H238" s="55" t="str">
        <f ca="1">IFERROR(VLOOKUP(ROWS($H$3:H238),E:F,2,0),"")</f>
        <v/>
      </c>
    </row>
    <row r="239" spans="1:8" x14ac:dyDescent="0.25">
      <c r="A239" s="54">
        <v>1060404100</v>
      </c>
      <c r="B239" s="54">
        <v>10604041</v>
      </c>
      <c r="C239" s="54">
        <f>RIGHT(Table1[[#This Row],[UACS]],2)*1</f>
        <v>0</v>
      </c>
      <c r="D239" s="54">
        <v>10604041</v>
      </c>
      <c r="E239" s="54">
        <f ca="1">IF(ISNUMBER(SEARCH($I$1,F239)),MAX($E$2:E238)+1,0)</f>
        <v>0</v>
      </c>
      <c r="F239" s="56" t="s">
        <v>315</v>
      </c>
      <c r="H239" s="55" t="str">
        <f ca="1">IFERROR(VLOOKUP(ROWS($H$3:H239),E:F,2,0),"")</f>
        <v/>
      </c>
    </row>
    <row r="240" spans="1:8" x14ac:dyDescent="0.25">
      <c r="A240" s="54">
        <v>1060404200</v>
      </c>
      <c r="B240" s="54">
        <v>10604042</v>
      </c>
      <c r="C240" s="54">
        <f>RIGHT(Table1[[#This Row],[UACS]],2)*1</f>
        <v>0</v>
      </c>
      <c r="D240" s="54">
        <v>10604042</v>
      </c>
      <c r="E240" s="54">
        <f ca="1">IF(ISNUMBER(SEARCH($I$1,F240)),MAX($E$2:E239)+1,0)</f>
        <v>0</v>
      </c>
      <c r="F240" s="56" t="s">
        <v>316</v>
      </c>
      <c r="H240" s="55" t="str">
        <f ca="1">IFERROR(VLOOKUP(ROWS($H$3:H240),E:F,2,0),"")</f>
        <v/>
      </c>
    </row>
    <row r="241" spans="1:8" x14ac:dyDescent="0.25">
      <c r="A241" s="54">
        <v>1060405000</v>
      </c>
      <c r="B241" s="54">
        <v>10604050</v>
      </c>
      <c r="C241" s="54">
        <f>RIGHT(Table1[[#This Row],[UACS]],2)*1</f>
        <v>0</v>
      </c>
      <c r="D241" s="54">
        <v>10604050</v>
      </c>
      <c r="E241" s="54">
        <f ca="1">IF(ISNUMBER(SEARCH($I$1,F241)),MAX($E$2:E240)+1,0)</f>
        <v>0</v>
      </c>
      <c r="F241" s="56" t="s">
        <v>317</v>
      </c>
      <c r="H241" s="55" t="str">
        <f ca="1">IFERROR(VLOOKUP(ROWS($H$3:H241),E:F,2,0),"")</f>
        <v/>
      </c>
    </row>
    <row r="242" spans="1:8" x14ac:dyDescent="0.25">
      <c r="A242" s="54">
        <v>1060405100</v>
      </c>
      <c r="B242" s="54">
        <v>10604051</v>
      </c>
      <c r="C242" s="54">
        <f>RIGHT(Table1[[#This Row],[UACS]],2)*1</f>
        <v>0</v>
      </c>
      <c r="D242" s="54">
        <v>10604051</v>
      </c>
      <c r="E242" s="54">
        <f ca="1">IF(ISNUMBER(SEARCH($I$1,F242)),MAX($E$2:E241)+1,0)</f>
        <v>0</v>
      </c>
      <c r="F242" s="56" t="s">
        <v>318</v>
      </c>
      <c r="H242" s="55" t="str">
        <f ca="1">IFERROR(VLOOKUP(ROWS($H$3:H242),E:F,2,0),"")</f>
        <v/>
      </c>
    </row>
    <row r="243" spans="1:8" x14ac:dyDescent="0.25">
      <c r="A243" s="54">
        <v>1060405200</v>
      </c>
      <c r="B243" s="54">
        <v>10604052</v>
      </c>
      <c r="C243" s="54">
        <f>RIGHT(Table1[[#This Row],[UACS]],2)*1</f>
        <v>0</v>
      </c>
      <c r="D243" s="54">
        <v>10604052</v>
      </c>
      <c r="E243" s="54">
        <f ca="1">IF(ISNUMBER(SEARCH($I$1,F243)),MAX($E$2:E242)+1,0)</f>
        <v>0</v>
      </c>
      <c r="F243" s="56" t="s">
        <v>319</v>
      </c>
      <c r="H243" s="55" t="str">
        <f ca="1">IFERROR(VLOOKUP(ROWS($H$3:H243),E:F,2,0),"")</f>
        <v/>
      </c>
    </row>
    <row r="244" spans="1:8" x14ac:dyDescent="0.25">
      <c r="A244" s="54">
        <v>1060406000</v>
      </c>
      <c r="B244" s="54">
        <v>10604060</v>
      </c>
      <c r="C244" s="54">
        <f>RIGHT(Table1[[#This Row],[UACS]],2)*1</f>
        <v>0</v>
      </c>
      <c r="D244" s="54">
        <v>10604060</v>
      </c>
      <c r="E244" s="54">
        <f ca="1">IF(ISNUMBER(SEARCH($I$1,F244)),MAX($E$2:E243)+1,0)</f>
        <v>0</v>
      </c>
      <c r="F244" s="56" t="s">
        <v>320</v>
      </c>
      <c r="H244" s="55" t="str">
        <f ca="1">IFERROR(VLOOKUP(ROWS($H$3:H244),E:F,2,0),"")</f>
        <v/>
      </c>
    </row>
    <row r="245" spans="1:8" x14ac:dyDescent="0.25">
      <c r="A245" s="54">
        <v>1060406100</v>
      </c>
      <c r="B245" s="54">
        <v>10604061</v>
      </c>
      <c r="C245" s="54">
        <f>RIGHT(Table1[[#This Row],[UACS]],2)*1</f>
        <v>0</v>
      </c>
      <c r="D245" s="54">
        <v>10604061</v>
      </c>
      <c r="E245" s="54">
        <f ca="1">IF(ISNUMBER(SEARCH($I$1,F245)),MAX($E$2:E244)+1,0)</f>
        <v>0</v>
      </c>
      <c r="F245" s="56" t="s">
        <v>321</v>
      </c>
      <c r="H245" s="55" t="str">
        <f ca="1">IFERROR(VLOOKUP(ROWS($H$3:H245),E:F,2,0),"")</f>
        <v/>
      </c>
    </row>
    <row r="246" spans="1:8" x14ac:dyDescent="0.25">
      <c r="A246" s="54">
        <v>1060406200</v>
      </c>
      <c r="B246" s="54">
        <v>10604062</v>
      </c>
      <c r="C246" s="54">
        <f>RIGHT(Table1[[#This Row],[UACS]],2)*1</f>
        <v>0</v>
      </c>
      <c r="D246" s="54">
        <v>10604062</v>
      </c>
      <c r="E246" s="54">
        <f ca="1">IF(ISNUMBER(SEARCH($I$1,F246)),MAX($E$2:E245)+1,0)</f>
        <v>0</v>
      </c>
      <c r="F246" s="56" t="s">
        <v>322</v>
      </c>
      <c r="H246" s="55" t="str">
        <f ca="1">IFERROR(VLOOKUP(ROWS($H$3:H246),E:F,2,0),"")</f>
        <v/>
      </c>
    </row>
    <row r="247" spans="1:8" x14ac:dyDescent="0.25">
      <c r="A247" s="54">
        <v>1060499000</v>
      </c>
      <c r="B247" s="54">
        <v>10604990</v>
      </c>
      <c r="C247" s="54">
        <f>RIGHT(Table1[[#This Row],[UACS]],2)*1</f>
        <v>0</v>
      </c>
      <c r="D247" s="54">
        <v>10604990</v>
      </c>
      <c r="E247" s="54">
        <f ca="1">IF(ISNUMBER(SEARCH($I$1,F247)),MAX($E$2:E246)+1,0)</f>
        <v>0</v>
      </c>
      <c r="F247" s="56" t="s">
        <v>323</v>
      </c>
      <c r="H247" s="55" t="str">
        <f ca="1">IFERROR(VLOOKUP(ROWS($H$3:H247),E:F,2,0),"")</f>
        <v/>
      </c>
    </row>
    <row r="248" spans="1:8" x14ac:dyDescent="0.25">
      <c r="A248" s="54">
        <v>1060499100</v>
      </c>
      <c r="B248" s="54">
        <v>10604991</v>
      </c>
      <c r="C248" s="54">
        <f>RIGHT(Table1[[#This Row],[UACS]],2)*1</f>
        <v>0</v>
      </c>
      <c r="D248" s="54">
        <v>10604991</v>
      </c>
      <c r="E248" s="54">
        <f ca="1">IF(ISNUMBER(SEARCH($I$1,F248)),MAX($E$2:E247)+1,0)</f>
        <v>0</v>
      </c>
      <c r="F248" s="56" t="s">
        <v>324</v>
      </c>
      <c r="H248" s="55" t="str">
        <f ca="1">IFERROR(VLOOKUP(ROWS($H$3:H248),E:F,2,0),"")</f>
        <v/>
      </c>
    </row>
    <row r="249" spans="1:8" x14ac:dyDescent="0.25">
      <c r="A249" s="54">
        <v>1060499200</v>
      </c>
      <c r="B249" s="54">
        <v>10604992</v>
      </c>
      <c r="C249" s="54">
        <f>RIGHT(Table1[[#This Row],[UACS]],2)*1</f>
        <v>0</v>
      </c>
      <c r="D249" s="54">
        <v>10604992</v>
      </c>
      <c r="E249" s="54">
        <f ca="1">IF(ISNUMBER(SEARCH($I$1,F249)),MAX($E$2:E248)+1,0)</f>
        <v>0</v>
      </c>
      <c r="F249" s="56" t="s">
        <v>325</v>
      </c>
      <c r="H249" s="55" t="str">
        <f ca="1">IFERROR(VLOOKUP(ROWS($H$3:H249),E:F,2,0),"")</f>
        <v/>
      </c>
    </row>
    <row r="250" spans="1:8" x14ac:dyDescent="0.25">
      <c r="A250" s="54">
        <v>1060501000</v>
      </c>
      <c r="B250" s="54">
        <v>10605010</v>
      </c>
      <c r="C250" s="54">
        <f>RIGHT(Table1[[#This Row],[UACS]],2)*1</f>
        <v>0</v>
      </c>
      <c r="D250" s="54">
        <v>10605010</v>
      </c>
      <c r="E250" s="54">
        <f ca="1">IF(ISNUMBER(SEARCH($I$1,F250)),MAX($E$2:E249)+1,0)</f>
        <v>0</v>
      </c>
      <c r="F250" s="56" t="s">
        <v>326</v>
      </c>
      <c r="H250" s="55" t="str">
        <f ca="1">IFERROR(VLOOKUP(ROWS($H$3:H250),E:F,2,0),"")</f>
        <v/>
      </c>
    </row>
    <row r="251" spans="1:8" x14ac:dyDescent="0.25">
      <c r="A251" s="54">
        <v>1060501100</v>
      </c>
      <c r="B251" s="54">
        <v>10605011</v>
      </c>
      <c r="C251" s="54">
        <f>RIGHT(Table1[[#This Row],[UACS]],2)*1</f>
        <v>0</v>
      </c>
      <c r="D251" s="54">
        <v>10605011</v>
      </c>
      <c r="E251" s="54">
        <f ca="1">IF(ISNUMBER(SEARCH($I$1,F251)),MAX($E$2:E250)+1,0)</f>
        <v>0</v>
      </c>
      <c r="F251" s="56" t="s">
        <v>327</v>
      </c>
      <c r="H251" s="55" t="str">
        <f ca="1">IFERROR(VLOOKUP(ROWS($H$3:H251),E:F,2,0),"")</f>
        <v/>
      </c>
    </row>
    <row r="252" spans="1:8" x14ac:dyDescent="0.25">
      <c r="A252" s="54">
        <v>1060501200</v>
      </c>
      <c r="B252" s="54">
        <v>10605012</v>
      </c>
      <c r="C252" s="54">
        <f>RIGHT(Table1[[#This Row],[UACS]],2)*1</f>
        <v>0</v>
      </c>
      <c r="D252" s="54">
        <v>10605012</v>
      </c>
      <c r="E252" s="54">
        <f ca="1">IF(ISNUMBER(SEARCH($I$1,F252)),MAX($E$2:E251)+1,0)</f>
        <v>0</v>
      </c>
      <c r="F252" s="56" t="s">
        <v>328</v>
      </c>
      <c r="H252" s="55" t="str">
        <f ca="1">IFERROR(VLOOKUP(ROWS($H$3:H252),E:F,2,0),"")</f>
        <v/>
      </c>
    </row>
    <row r="253" spans="1:8" x14ac:dyDescent="0.25">
      <c r="A253" s="54">
        <v>1060502000</v>
      </c>
      <c r="B253" s="54">
        <v>10605020</v>
      </c>
      <c r="C253" s="54">
        <f>RIGHT(Table1[[#This Row],[UACS]],2)*1</f>
        <v>0</v>
      </c>
      <c r="D253" s="54">
        <v>10605020</v>
      </c>
      <c r="E253" s="54">
        <f ca="1">IF(ISNUMBER(SEARCH($I$1,F253)),MAX($E$2:E252)+1,0)</f>
        <v>0</v>
      </c>
      <c r="F253" s="56" t="s">
        <v>329</v>
      </c>
      <c r="H253" s="55" t="str">
        <f ca="1">IFERROR(VLOOKUP(ROWS($H$3:H253),E:F,2,0),"")</f>
        <v/>
      </c>
    </row>
    <row r="254" spans="1:8" x14ac:dyDescent="0.25">
      <c r="A254" s="54">
        <v>1060502100</v>
      </c>
      <c r="B254" s="54">
        <v>10605021</v>
      </c>
      <c r="C254" s="54">
        <f>RIGHT(Table1[[#This Row],[UACS]],2)*1</f>
        <v>0</v>
      </c>
      <c r="D254" s="54">
        <v>10605021</v>
      </c>
      <c r="E254" s="54">
        <f ca="1">IF(ISNUMBER(SEARCH($I$1,F254)),MAX($E$2:E253)+1,0)</f>
        <v>0</v>
      </c>
      <c r="F254" s="56" t="s">
        <v>330</v>
      </c>
      <c r="H254" s="55" t="str">
        <f ca="1">IFERROR(VLOOKUP(ROWS($H$3:H254),E:F,2,0),"")</f>
        <v/>
      </c>
    </row>
    <row r="255" spans="1:8" x14ac:dyDescent="0.25">
      <c r="A255" s="54">
        <v>1060502200</v>
      </c>
      <c r="B255" s="54">
        <v>10605022</v>
      </c>
      <c r="C255" s="54">
        <f>RIGHT(Table1[[#This Row],[UACS]],2)*1</f>
        <v>0</v>
      </c>
      <c r="D255" s="54">
        <v>10605022</v>
      </c>
      <c r="E255" s="54">
        <f ca="1">IF(ISNUMBER(SEARCH($I$1,F255)),MAX($E$2:E254)+1,0)</f>
        <v>0</v>
      </c>
      <c r="F255" s="56" t="s">
        <v>331</v>
      </c>
      <c r="H255" s="55" t="str">
        <f ca="1">IFERROR(VLOOKUP(ROWS($H$3:H255),E:F,2,0),"")</f>
        <v/>
      </c>
    </row>
    <row r="256" spans="1:8" x14ac:dyDescent="0.25">
      <c r="A256" s="54">
        <v>1060503000</v>
      </c>
      <c r="B256" s="54">
        <v>10605030</v>
      </c>
      <c r="C256" s="54">
        <f>RIGHT(Table1[[#This Row],[UACS]],2)*1</f>
        <v>0</v>
      </c>
      <c r="D256" s="54">
        <v>10605030</v>
      </c>
      <c r="E256" s="54">
        <f ca="1">IF(ISNUMBER(SEARCH($I$1,F256)),MAX($E$2:E255)+1,0)</f>
        <v>0</v>
      </c>
      <c r="F256" s="56" t="s">
        <v>332</v>
      </c>
      <c r="H256" s="55" t="str">
        <f ca="1">IFERROR(VLOOKUP(ROWS($H$3:H256),E:F,2,0),"")</f>
        <v/>
      </c>
    </row>
    <row r="257" spans="1:8" x14ac:dyDescent="0.25">
      <c r="A257" s="54">
        <v>1060503100</v>
      </c>
      <c r="B257" s="54">
        <v>10605031</v>
      </c>
      <c r="C257" s="54">
        <f>RIGHT(Table1[[#This Row],[UACS]],2)*1</f>
        <v>0</v>
      </c>
      <c r="D257" s="54">
        <v>10605031</v>
      </c>
      <c r="E257" s="54">
        <f ca="1">IF(ISNUMBER(SEARCH($I$1,F257)),MAX($E$2:E256)+1,0)</f>
        <v>0</v>
      </c>
      <c r="F257" s="56" t="s">
        <v>333</v>
      </c>
      <c r="H257" s="55" t="str">
        <f ca="1">IFERROR(VLOOKUP(ROWS($H$3:H257),E:F,2,0),"")</f>
        <v/>
      </c>
    </row>
    <row r="258" spans="1:8" x14ac:dyDescent="0.25">
      <c r="A258" s="54">
        <v>1060503200</v>
      </c>
      <c r="B258" s="54">
        <v>10605032</v>
      </c>
      <c r="C258" s="54">
        <f>RIGHT(Table1[[#This Row],[UACS]],2)*1</f>
        <v>0</v>
      </c>
      <c r="D258" s="54">
        <v>10605032</v>
      </c>
      <c r="E258" s="54">
        <f ca="1">IF(ISNUMBER(SEARCH($I$1,F258)),MAX($E$2:E257)+1,0)</f>
        <v>0</v>
      </c>
      <c r="F258" s="56" t="s">
        <v>334</v>
      </c>
      <c r="H258" s="55" t="str">
        <f ca="1">IFERROR(VLOOKUP(ROWS($H$3:H258),E:F,2,0),"")</f>
        <v/>
      </c>
    </row>
    <row r="259" spans="1:8" x14ac:dyDescent="0.25">
      <c r="A259" s="54">
        <v>1060504000</v>
      </c>
      <c r="B259" s="54">
        <v>10605040</v>
      </c>
      <c r="C259" s="54">
        <f>RIGHT(Table1[[#This Row],[UACS]],2)*1</f>
        <v>0</v>
      </c>
      <c r="D259" s="54">
        <v>10605040</v>
      </c>
      <c r="E259" s="54">
        <f ca="1">IF(ISNUMBER(SEARCH($I$1,F259)),MAX($E$2:E258)+1,0)</f>
        <v>0</v>
      </c>
      <c r="F259" s="56" t="s">
        <v>335</v>
      </c>
      <c r="H259" s="55" t="str">
        <f ca="1">IFERROR(VLOOKUP(ROWS($H$3:H259),E:F,2,0),"")</f>
        <v/>
      </c>
    </row>
    <row r="260" spans="1:8" x14ac:dyDescent="0.25">
      <c r="A260" s="54">
        <v>1060504100</v>
      </c>
      <c r="B260" s="54">
        <v>10605041</v>
      </c>
      <c r="C260" s="54">
        <f>RIGHT(Table1[[#This Row],[UACS]],2)*1</f>
        <v>0</v>
      </c>
      <c r="D260" s="54">
        <v>10605041</v>
      </c>
      <c r="E260" s="54">
        <f ca="1">IF(ISNUMBER(SEARCH($I$1,F260)),MAX($E$2:E259)+1,0)</f>
        <v>0</v>
      </c>
      <c r="F260" s="56" t="s">
        <v>336</v>
      </c>
      <c r="H260" s="55" t="str">
        <f ca="1">IFERROR(VLOOKUP(ROWS($H$3:H260),E:F,2,0),"")</f>
        <v/>
      </c>
    </row>
    <row r="261" spans="1:8" x14ac:dyDescent="0.25">
      <c r="A261" s="54">
        <v>1060504200</v>
      </c>
      <c r="B261" s="54">
        <v>10605042</v>
      </c>
      <c r="C261" s="54">
        <f>RIGHT(Table1[[#This Row],[UACS]],2)*1</f>
        <v>0</v>
      </c>
      <c r="D261" s="54">
        <v>10605042</v>
      </c>
      <c r="E261" s="54">
        <f ca="1">IF(ISNUMBER(SEARCH($I$1,F261)),MAX($E$2:E260)+1,0)</f>
        <v>0</v>
      </c>
      <c r="F261" s="56" t="s">
        <v>337</v>
      </c>
      <c r="H261" s="55" t="str">
        <f ca="1">IFERROR(VLOOKUP(ROWS($H$3:H261),E:F,2,0),"")</f>
        <v/>
      </c>
    </row>
    <row r="262" spans="1:8" x14ac:dyDescent="0.25">
      <c r="A262" s="54">
        <v>1060505000</v>
      </c>
      <c r="B262" s="54">
        <v>10605050</v>
      </c>
      <c r="C262" s="54">
        <f>RIGHT(Table1[[#This Row],[UACS]],2)*1</f>
        <v>0</v>
      </c>
      <c r="D262" s="54">
        <v>10605050</v>
      </c>
      <c r="E262" s="54">
        <f ca="1">IF(ISNUMBER(SEARCH($I$1,F262)),MAX($E$2:E261)+1,0)</f>
        <v>0</v>
      </c>
      <c r="F262" s="56" t="s">
        <v>338</v>
      </c>
      <c r="H262" s="55" t="str">
        <f ca="1">IFERROR(VLOOKUP(ROWS($H$3:H262),E:F,2,0),"")</f>
        <v/>
      </c>
    </row>
    <row r="263" spans="1:8" x14ac:dyDescent="0.25">
      <c r="A263" s="54">
        <v>1060505100</v>
      </c>
      <c r="B263" s="54">
        <v>10605051</v>
      </c>
      <c r="C263" s="54">
        <f>RIGHT(Table1[[#This Row],[UACS]],2)*1</f>
        <v>0</v>
      </c>
      <c r="D263" s="54">
        <v>10605051</v>
      </c>
      <c r="E263" s="54">
        <f ca="1">IF(ISNUMBER(SEARCH($I$1,F263)),MAX($E$2:E262)+1,0)</f>
        <v>0</v>
      </c>
      <c r="F263" s="56" t="s">
        <v>339</v>
      </c>
      <c r="H263" s="55" t="str">
        <f ca="1">IFERROR(VLOOKUP(ROWS($H$3:H263),E:F,2,0),"")</f>
        <v/>
      </c>
    </row>
    <row r="264" spans="1:8" x14ac:dyDescent="0.25">
      <c r="A264" s="54">
        <v>1060505200</v>
      </c>
      <c r="B264" s="54">
        <v>10605052</v>
      </c>
      <c r="C264" s="54">
        <f>RIGHT(Table1[[#This Row],[UACS]],2)*1</f>
        <v>0</v>
      </c>
      <c r="D264" s="54">
        <v>10605052</v>
      </c>
      <c r="E264" s="54">
        <f ca="1">IF(ISNUMBER(SEARCH($I$1,F264)),MAX($E$2:E263)+1,0)</f>
        <v>0</v>
      </c>
      <c r="F264" s="56" t="s">
        <v>340</v>
      </c>
      <c r="H264" s="55" t="str">
        <f ca="1">IFERROR(VLOOKUP(ROWS($H$3:H264),E:F,2,0),"")</f>
        <v/>
      </c>
    </row>
    <row r="265" spans="1:8" x14ac:dyDescent="0.25">
      <c r="A265" s="54">
        <v>1060506000</v>
      </c>
      <c r="B265" s="54">
        <v>10605060</v>
      </c>
      <c r="C265" s="54">
        <f>RIGHT(Table1[[#This Row],[UACS]],2)*1</f>
        <v>0</v>
      </c>
      <c r="D265" s="54">
        <v>10605060</v>
      </c>
      <c r="E265" s="54">
        <f ca="1">IF(ISNUMBER(SEARCH($I$1,F265)),MAX($E$2:E264)+1,0)</f>
        <v>0</v>
      </c>
      <c r="F265" s="56" t="s">
        <v>341</v>
      </c>
      <c r="H265" s="55" t="str">
        <f ca="1">IFERROR(VLOOKUP(ROWS($H$3:H265),E:F,2,0),"")</f>
        <v/>
      </c>
    </row>
    <row r="266" spans="1:8" x14ac:dyDescent="0.25">
      <c r="A266" s="54">
        <v>1060506100</v>
      </c>
      <c r="B266" s="54">
        <v>10605061</v>
      </c>
      <c r="C266" s="54">
        <f>RIGHT(Table1[[#This Row],[UACS]],2)*1</f>
        <v>0</v>
      </c>
      <c r="D266" s="54">
        <v>10605061</v>
      </c>
      <c r="E266" s="54">
        <f ca="1">IF(ISNUMBER(SEARCH($I$1,F266)),MAX($E$2:E265)+1,0)</f>
        <v>0</v>
      </c>
      <c r="F266" s="56" t="s">
        <v>342</v>
      </c>
      <c r="H266" s="55" t="str">
        <f ca="1">IFERROR(VLOOKUP(ROWS($H$3:H266),E:F,2,0),"")</f>
        <v/>
      </c>
    </row>
    <row r="267" spans="1:8" x14ac:dyDescent="0.25">
      <c r="A267" s="54">
        <v>1060506200</v>
      </c>
      <c r="B267" s="54">
        <v>10605062</v>
      </c>
      <c r="C267" s="54">
        <f>RIGHT(Table1[[#This Row],[UACS]],2)*1</f>
        <v>0</v>
      </c>
      <c r="D267" s="54">
        <v>10605062</v>
      </c>
      <c r="E267" s="54">
        <f ca="1">IF(ISNUMBER(SEARCH($I$1,F267)),MAX($E$2:E266)+1,0)</f>
        <v>0</v>
      </c>
      <c r="F267" s="56" t="s">
        <v>343</v>
      </c>
      <c r="H267" s="55" t="str">
        <f ca="1">IFERROR(VLOOKUP(ROWS($H$3:H267),E:F,2,0),"")</f>
        <v/>
      </c>
    </row>
    <row r="268" spans="1:8" x14ac:dyDescent="0.25">
      <c r="A268" s="54">
        <v>1060507000</v>
      </c>
      <c r="B268" s="54">
        <v>10605070</v>
      </c>
      <c r="C268" s="54">
        <f>RIGHT(Table1[[#This Row],[UACS]],2)*1</f>
        <v>0</v>
      </c>
      <c r="D268" s="54">
        <v>10605070</v>
      </c>
      <c r="E268" s="54">
        <f ca="1">IF(ISNUMBER(SEARCH($I$1,F268)),MAX($E$2:E267)+1,0)</f>
        <v>0</v>
      </c>
      <c r="F268" s="56" t="s">
        <v>344</v>
      </c>
      <c r="H268" s="55" t="str">
        <f ca="1">IFERROR(VLOOKUP(ROWS($H$3:H268),E:F,2,0),"")</f>
        <v/>
      </c>
    </row>
    <row r="269" spans="1:8" x14ac:dyDescent="0.25">
      <c r="A269" s="54">
        <v>1060507100</v>
      </c>
      <c r="B269" s="54">
        <v>10605071</v>
      </c>
      <c r="C269" s="54">
        <f>RIGHT(Table1[[#This Row],[UACS]],2)*1</f>
        <v>0</v>
      </c>
      <c r="D269" s="54">
        <v>10605071</v>
      </c>
      <c r="E269" s="54">
        <f ca="1">IF(ISNUMBER(SEARCH($I$1,F269)),MAX($E$2:E268)+1,0)</f>
        <v>0</v>
      </c>
      <c r="F269" s="56" t="s">
        <v>345</v>
      </c>
      <c r="H269" s="55" t="str">
        <f ca="1">IFERROR(VLOOKUP(ROWS($H$3:H269),E:F,2,0),"")</f>
        <v/>
      </c>
    </row>
    <row r="270" spans="1:8" x14ac:dyDescent="0.25">
      <c r="A270" s="54">
        <v>1060507200</v>
      </c>
      <c r="B270" s="54">
        <v>10605072</v>
      </c>
      <c r="C270" s="54">
        <f>RIGHT(Table1[[#This Row],[UACS]],2)*1</f>
        <v>0</v>
      </c>
      <c r="D270" s="54">
        <v>10605072</v>
      </c>
      <c r="E270" s="54">
        <f ca="1">IF(ISNUMBER(SEARCH($I$1,F270)),MAX($E$2:E269)+1,0)</f>
        <v>0</v>
      </c>
      <c r="F270" s="56" t="s">
        <v>346</v>
      </c>
      <c r="H270" s="55" t="str">
        <f ca="1">IFERROR(VLOOKUP(ROWS($H$3:H270),E:F,2,0),"")</f>
        <v/>
      </c>
    </row>
    <row r="271" spans="1:8" x14ac:dyDescent="0.25">
      <c r="A271" s="54">
        <v>1060508000</v>
      </c>
      <c r="B271" s="54">
        <v>10605080</v>
      </c>
      <c r="C271" s="54">
        <f>RIGHT(Table1[[#This Row],[UACS]],2)*1</f>
        <v>0</v>
      </c>
      <c r="D271" s="54">
        <v>10605080</v>
      </c>
      <c r="E271" s="54">
        <f ca="1">IF(ISNUMBER(SEARCH($I$1,F271)),MAX($E$2:E270)+1,0)</f>
        <v>0</v>
      </c>
      <c r="F271" s="56" t="s">
        <v>347</v>
      </c>
      <c r="H271" s="55" t="str">
        <f ca="1">IFERROR(VLOOKUP(ROWS($H$3:H271),E:F,2,0),"")</f>
        <v/>
      </c>
    </row>
    <row r="272" spans="1:8" x14ac:dyDescent="0.25">
      <c r="A272" s="54">
        <v>1060508100</v>
      </c>
      <c r="B272" s="54">
        <v>10605081</v>
      </c>
      <c r="C272" s="54">
        <f>RIGHT(Table1[[#This Row],[UACS]],2)*1</f>
        <v>0</v>
      </c>
      <c r="D272" s="54">
        <v>10605081</v>
      </c>
      <c r="E272" s="54">
        <f ca="1">IF(ISNUMBER(SEARCH($I$1,F272)),MAX($E$2:E271)+1,0)</f>
        <v>0</v>
      </c>
      <c r="F272" s="56" t="s">
        <v>348</v>
      </c>
      <c r="H272" s="55" t="str">
        <f ca="1">IFERROR(VLOOKUP(ROWS($H$3:H272),E:F,2,0),"")</f>
        <v/>
      </c>
    </row>
    <row r="273" spans="1:8" x14ac:dyDescent="0.25">
      <c r="A273" s="54">
        <v>1060508200</v>
      </c>
      <c r="B273" s="54">
        <v>10605082</v>
      </c>
      <c r="C273" s="54">
        <f>RIGHT(Table1[[#This Row],[UACS]],2)*1</f>
        <v>0</v>
      </c>
      <c r="D273" s="54">
        <v>10605082</v>
      </c>
      <c r="E273" s="54">
        <f ca="1">IF(ISNUMBER(SEARCH($I$1,F273)),MAX($E$2:E272)+1,0)</f>
        <v>0</v>
      </c>
      <c r="F273" s="56" t="s">
        <v>349</v>
      </c>
      <c r="H273" s="55" t="str">
        <f ca="1">IFERROR(VLOOKUP(ROWS($H$3:H273),E:F,2,0),"")</f>
        <v/>
      </c>
    </row>
    <row r="274" spans="1:8" x14ac:dyDescent="0.25">
      <c r="A274" s="54">
        <v>1060509001</v>
      </c>
      <c r="B274" s="54">
        <v>10605090</v>
      </c>
      <c r="C274" s="54">
        <f>RIGHT(Table1[[#This Row],[UACS]],2)*1</f>
        <v>1</v>
      </c>
      <c r="D274" s="54">
        <v>10605090</v>
      </c>
      <c r="E274" s="54">
        <f ca="1">IF(ISNUMBER(SEARCH($I$1,F274)),MAX($E$2:E273)+1,0)</f>
        <v>0</v>
      </c>
      <c r="F274" s="56" t="s">
        <v>350</v>
      </c>
      <c r="H274" s="55" t="str">
        <f ca="1">IFERROR(VLOOKUP(ROWS($H$3:H274),E:F,2,0),"")</f>
        <v/>
      </c>
    </row>
    <row r="275" spans="1:8" x14ac:dyDescent="0.25">
      <c r="A275" s="54">
        <v>1060509002</v>
      </c>
      <c r="B275" s="54">
        <v>10605090</v>
      </c>
      <c r="C275" s="54">
        <f>RIGHT(Table1[[#This Row],[UACS]],2)*1</f>
        <v>2</v>
      </c>
      <c r="D275" s="54">
        <v>10605090</v>
      </c>
      <c r="E275" s="54">
        <f ca="1">IF(ISNUMBER(SEARCH($I$1,F275)),MAX($E$2:E274)+1,0)</f>
        <v>0</v>
      </c>
      <c r="F275" s="56" t="s">
        <v>351</v>
      </c>
      <c r="H275" s="55" t="str">
        <f ca="1">IFERROR(VLOOKUP(ROWS($H$3:H275),E:F,2,0),"")</f>
        <v/>
      </c>
    </row>
    <row r="276" spans="1:8" x14ac:dyDescent="0.25">
      <c r="A276" s="54">
        <v>1060509003</v>
      </c>
      <c r="B276" s="54">
        <v>10605090</v>
      </c>
      <c r="C276" s="54">
        <f>RIGHT(Table1[[#This Row],[UACS]],2)*1</f>
        <v>3</v>
      </c>
      <c r="D276" s="54">
        <v>10605090</v>
      </c>
      <c r="E276" s="54">
        <f ca="1">IF(ISNUMBER(SEARCH($I$1,F276)),MAX($E$2:E275)+1,0)</f>
        <v>0</v>
      </c>
      <c r="F276" s="56" t="s">
        <v>352</v>
      </c>
      <c r="H276" s="55" t="str">
        <f ca="1">IFERROR(VLOOKUP(ROWS($H$3:H276),E:F,2,0),"")</f>
        <v/>
      </c>
    </row>
    <row r="277" spans="1:8" x14ac:dyDescent="0.25">
      <c r="A277" s="54">
        <v>1060509004</v>
      </c>
      <c r="B277" s="54">
        <v>10605090</v>
      </c>
      <c r="C277" s="54">
        <f>RIGHT(Table1[[#This Row],[UACS]],2)*1</f>
        <v>4</v>
      </c>
      <c r="D277" s="54">
        <v>10605090</v>
      </c>
      <c r="E277" s="54">
        <f ca="1">IF(ISNUMBER(SEARCH($I$1,F277)),MAX($E$2:E276)+1,0)</f>
        <v>0</v>
      </c>
      <c r="F277" s="56" t="s">
        <v>353</v>
      </c>
      <c r="H277" s="55" t="str">
        <f ca="1">IFERROR(VLOOKUP(ROWS($H$3:H277),E:F,2,0),"")</f>
        <v/>
      </c>
    </row>
    <row r="278" spans="1:8" x14ac:dyDescent="0.25">
      <c r="A278" s="54">
        <v>1060509005</v>
      </c>
      <c r="B278" s="54">
        <v>10605090</v>
      </c>
      <c r="C278" s="54">
        <f>RIGHT(Table1[[#This Row],[UACS]],2)*1</f>
        <v>5</v>
      </c>
      <c r="D278" s="54">
        <v>10605090</v>
      </c>
      <c r="E278" s="54">
        <f ca="1">IF(ISNUMBER(SEARCH($I$1,F278)),MAX($E$2:E277)+1,0)</f>
        <v>0</v>
      </c>
      <c r="F278" s="56" t="s">
        <v>354</v>
      </c>
      <c r="H278" s="55" t="str">
        <f ca="1">IFERROR(VLOOKUP(ROWS($H$3:H278),E:F,2,0),"")</f>
        <v/>
      </c>
    </row>
    <row r="279" spans="1:8" x14ac:dyDescent="0.25">
      <c r="A279" s="54">
        <v>1060509100</v>
      </c>
      <c r="B279" s="54">
        <v>10605091</v>
      </c>
      <c r="C279" s="54">
        <f>RIGHT(Table1[[#This Row],[UACS]],2)*1</f>
        <v>0</v>
      </c>
      <c r="D279" s="54">
        <v>10605091</v>
      </c>
      <c r="E279" s="54">
        <f ca="1">IF(ISNUMBER(SEARCH($I$1,F279)),MAX($E$2:E278)+1,0)</f>
        <v>0</v>
      </c>
      <c r="F279" s="56" t="s">
        <v>355</v>
      </c>
      <c r="H279" s="55" t="str">
        <f ca="1">IFERROR(VLOOKUP(ROWS($H$3:H279),E:F,2,0),"")</f>
        <v/>
      </c>
    </row>
    <row r="280" spans="1:8" x14ac:dyDescent="0.25">
      <c r="A280" s="54">
        <v>1060509200</v>
      </c>
      <c r="B280" s="54">
        <v>10605092</v>
      </c>
      <c r="C280" s="54">
        <f>RIGHT(Table1[[#This Row],[UACS]],2)*1</f>
        <v>0</v>
      </c>
      <c r="D280" s="54">
        <v>10605092</v>
      </c>
      <c r="E280" s="54">
        <f ca="1">IF(ISNUMBER(SEARCH($I$1,F280)),MAX($E$2:E279)+1,0)</f>
        <v>0</v>
      </c>
      <c r="F280" s="56" t="s">
        <v>356</v>
      </c>
      <c r="H280" s="55" t="str">
        <f ca="1">IFERROR(VLOOKUP(ROWS($H$3:H280),E:F,2,0),"")</f>
        <v/>
      </c>
    </row>
    <row r="281" spans="1:8" x14ac:dyDescent="0.25">
      <c r="A281" s="54">
        <v>1060510000</v>
      </c>
      <c r="B281" s="54">
        <v>10605100</v>
      </c>
      <c r="C281" s="54">
        <f>RIGHT(Table1[[#This Row],[UACS]],2)*1</f>
        <v>0</v>
      </c>
      <c r="D281" s="54">
        <v>10605100</v>
      </c>
      <c r="E281" s="54">
        <f ca="1">IF(ISNUMBER(SEARCH($I$1,F281)),MAX($E$2:E280)+1,0)</f>
        <v>0</v>
      </c>
      <c r="F281" s="56" t="s">
        <v>357</v>
      </c>
      <c r="H281" s="55" t="str">
        <f ca="1">IFERROR(VLOOKUP(ROWS($H$3:H281),E:F,2,0),"")</f>
        <v/>
      </c>
    </row>
    <row r="282" spans="1:8" x14ac:dyDescent="0.25">
      <c r="A282" s="54">
        <v>1060510100</v>
      </c>
      <c r="B282" s="54">
        <v>10605101</v>
      </c>
      <c r="C282" s="54">
        <f>RIGHT(Table1[[#This Row],[UACS]],2)*1</f>
        <v>0</v>
      </c>
      <c r="D282" s="54">
        <v>10605101</v>
      </c>
      <c r="E282" s="54">
        <f ca="1">IF(ISNUMBER(SEARCH($I$1,F282)),MAX($E$2:E281)+1,0)</f>
        <v>0</v>
      </c>
      <c r="F282" s="56" t="s">
        <v>358</v>
      </c>
      <c r="H282" s="55" t="str">
        <f ca="1">IFERROR(VLOOKUP(ROWS($H$3:H282),E:F,2,0),"")</f>
        <v/>
      </c>
    </row>
    <row r="283" spans="1:8" x14ac:dyDescent="0.25">
      <c r="A283" s="54">
        <v>1060510200</v>
      </c>
      <c r="B283" s="54">
        <v>10605102</v>
      </c>
      <c r="C283" s="54">
        <f>RIGHT(Table1[[#This Row],[UACS]],2)*1</f>
        <v>0</v>
      </c>
      <c r="D283" s="54">
        <v>10605102</v>
      </c>
      <c r="E283" s="54">
        <f ca="1">IF(ISNUMBER(SEARCH($I$1,F283)),MAX($E$2:E282)+1,0)</f>
        <v>0</v>
      </c>
      <c r="F283" s="56" t="s">
        <v>359</v>
      </c>
      <c r="H283" s="55" t="str">
        <f ca="1">IFERROR(VLOOKUP(ROWS($H$3:H283),E:F,2,0),"")</f>
        <v/>
      </c>
    </row>
    <row r="284" spans="1:8" x14ac:dyDescent="0.25">
      <c r="A284" s="54">
        <v>1060511000</v>
      </c>
      <c r="B284" s="54">
        <v>10605110</v>
      </c>
      <c r="C284" s="54">
        <f>RIGHT(Table1[[#This Row],[UACS]],2)*1</f>
        <v>0</v>
      </c>
      <c r="D284" s="54">
        <v>10605110</v>
      </c>
      <c r="E284" s="54">
        <f ca="1">IF(ISNUMBER(SEARCH($I$1,F284)),MAX($E$2:E283)+1,0)</f>
        <v>0</v>
      </c>
      <c r="F284" s="56" t="s">
        <v>360</v>
      </c>
      <c r="H284" s="55" t="str">
        <f ca="1">IFERROR(VLOOKUP(ROWS($H$3:H284),E:F,2,0),"")</f>
        <v/>
      </c>
    </row>
    <row r="285" spans="1:8" x14ac:dyDescent="0.25">
      <c r="A285" s="54">
        <v>1060511100</v>
      </c>
      <c r="B285" s="54">
        <v>10605111</v>
      </c>
      <c r="C285" s="54">
        <f>RIGHT(Table1[[#This Row],[UACS]],2)*1</f>
        <v>0</v>
      </c>
      <c r="D285" s="54">
        <v>10605111</v>
      </c>
      <c r="E285" s="54">
        <f ca="1">IF(ISNUMBER(SEARCH($I$1,F285)),MAX($E$2:E284)+1,0)</f>
        <v>0</v>
      </c>
      <c r="F285" s="56" t="s">
        <v>361</v>
      </c>
      <c r="H285" s="55" t="str">
        <f ca="1">IFERROR(VLOOKUP(ROWS($H$3:H285),E:F,2,0),"")</f>
        <v/>
      </c>
    </row>
    <row r="286" spans="1:8" x14ac:dyDescent="0.25">
      <c r="A286" s="54">
        <v>1060511200</v>
      </c>
      <c r="B286" s="54">
        <v>10605112</v>
      </c>
      <c r="C286" s="54">
        <f>RIGHT(Table1[[#This Row],[UACS]],2)*1</f>
        <v>0</v>
      </c>
      <c r="D286" s="54">
        <v>10605112</v>
      </c>
      <c r="E286" s="54">
        <f ca="1">IF(ISNUMBER(SEARCH($I$1,F286)),MAX($E$2:E285)+1,0)</f>
        <v>0</v>
      </c>
      <c r="F286" s="56" t="s">
        <v>362</v>
      </c>
      <c r="H286" s="55" t="str">
        <f ca="1">IFERROR(VLOOKUP(ROWS($H$3:H286),E:F,2,0),"")</f>
        <v/>
      </c>
    </row>
    <row r="287" spans="1:8" x14ac:dyDescent="0.25">
      <c r="A287" s="54">
        <v>1060512000</v>
      </c>
      <c r="B287" s="54">
        <v>10605120</v>
      </c>
      <c r="C287" s="54">
        <f>RIGHT(Table1[[#This Row],[UACS]],2)*1</f>
        <v>0</v>
      </c>
      <c r="D287" s="54">
        <v>10605120</v>
      </c>
      <c r="E287" s="54">
        <f ca="1">IF(ISNUMBER(SEARCH($I$1,F287)),MAX($E$2:E286)+1,0)</f>
        <v>0</v>
      </c>
      <c r="F287" s="56" t="s">
        <v>363</v>
      </c>
      <c r="H287" s="55" t="str">
        <f ca="1">IFERROR(VLOOKUP(ROWS($H$3:H287),E:F,2,0),"")</f>
        <v/>
      </c>
    </row>
    <row r="288" spans="1:8" x14ac:dyDescent="0.25">
      <c r="A288" s="54">
        <v>1060512100</v>
      </c>
      <c r="B288" s="54">
        <v>10605121</v>
      </c>
      <c r="C288" s="54">
        <f>RIGHT(Table1[[#This Row],[UACS]],2)*1</f>
        <v>0</v>
      </c>
      <c r="D288" s="54">
        <v>10605121</v>
      </c>
      <c r="E288" s="54">
        <f ca="1">IF(ISNUMBER(SEARCH($I$1,F288)),MAX($E$2:E287)+1,0)</f>
        <v>0</v>
      </c>
      <c r="F288" s="56" t="s">
        <v>364</v>
      </c>
      <c r="H288" s="55" t="str">
        <f ca="1">IFERROR(VLOOKUP(ROWS($H$3:H288),E:F,2,0),"")</f>
        <v/>
      </c>
    </row>
    <row r="289" spans="1:8" x14ac:dyDescent="0.25">
      <c r="A289" s="54">
        <v>1060512200</v>
      </c>
      <c r="B289" s="54">
        <v>10605122</v>
      </c>
      <c r="C289" s="54">
        <f>RIGHT(Table1[[#This Row],[UACS]],2)*1</f>
        <v>0</v>
      </c>
      <c r="D289" s="54">
        <v>10605122</v>
      </c>
      <c r="E289" s="54">
        <f ca="1">IF(ISNUMBER(SEARCH($I$1,F289)),MAX($E$2:E288)+1,0)</f>
        <v>0</v>
      </c>
      <c r="F289" s="56" t="s">
        <v>365</v>
      </c>
      <c r="H289" s="55" t="str">
        <f ca="1">IFERROR(VLOOKUP(ROWS($H$3:H289),E:F,2,0),"")</f>
        <v/>
      </c>
    </row>
    <row r="290" spans="1:8" x14ac:dyDescent="0.25">
      <c r="A290" s="54">
        <v>1060513000</v>
      </c>
      <c r="B290" s="54">
        <v>10605130</v>
      </c>
      <c r="C290" s="54">
        <f>RIGHT(Table1[[#This Row],[UACS]],2)*1</f>
        <v>0</v>
      </c>
      <c r="D290" s="54">
        <v>10605130</v>
      </c>
      <c r="E290" s="54">
        <f ca="1">IF(ISNUMBER(SEARCH($I$1,F290)),MAX($E$2:E289)+1,0)</f>
        <v>0</v>
      </c>
      <c r="F290" s="56" t="s">
        <v>366</v>
      </c>
      <c r="H290" s="55" t="str">
        <f ca="1">IFERROR(VLOOKUP(ROWS($H$3:H290),E:F,2,0),"")</f>
        <v/>
      </c>
    </row>
    <row r="291" spans="1:8" x14ac:dyDescent="0.25">
      <c r="A291" s="54">
        <v>1060513100</v>
      </c>
      <c r="B291" s="54">
        <v>10605131</v>
      </c>
      <c r="C291" s="54">
        <f>RIGHT(Table1[[#This Row],[UACS]],2)*1</f>
        <v>0</v>
      </c>
      <c r="D291" s="54">
        <v>10605131</v>
      </c>
      <c r="E291" s="54">
        <f ca="1">IF(ISNUMBER(SEARCH($I$1,F291)),MAX($E$2:E290)+1,0)</f>
        <v>0</v>
      </c>
      <c r="F291" s="56" t="s">
        <v>367</v>
      </c>
      <c r="H291" s="55" t="str">
        <f ca="1">IFERROR(VLOOKUP(ROWS($H$3:H291),E:F,2,0),"")</f>
        <v/>
      </c>
    </row>
    <row r="292" spans="1:8" x14ac:dyDescent="0.25">
      <c r="A292" s="54">
        <v>1060513200</v>
      </c>
      <c r="B292" s="54">
        <v>10605132</v>
      </c>
      <c r="C292" s="54">
        <f>RIGHT(Table1[[#This Row],[UACS]],2)*1</f>
        <v>0</v>
      </c>
      <c r="D292" s="54">
        <v>10605132</v>
      </c>
      <c r="E292" s="54">
        <f ca="1">IF(ISNUMBER(SEARCH($I$1,F292)),MAX($E$2:E291)+1,0)</f>
        <v>0</v>
      </c>
      <c r="F292" s="56" t="s">
        <v>368</v>
      </c>
      <c r="H292" s="55" t="str">
        <f ca="1">IFERROR(VLOOKUP(ROWS($H$3:H292),E:F,2,0),"")</f>
        <v/>
      </c>
    </row>
    <row r="293" spans="1:8" x14ac:dyDescent="0.25">
      <c r="A293" s="54">
        <v>1060514000</v>
      </c>
      <c r="B293" s="54">
        <v>10605140</v>
      </c>
      <c r="C293" s="54">
        <f>RIGHT(Table1[[#This Row],[UACS]],2)*1</f>
        <v>0</v>
      </c>
      <c r="D293" s="54">
        <v>10605140</v>
      </c>
      <c r="E293" s="54">
        <f ca="1">IF(ISNUMBER(SEARCH($I$1,F293)),MAX($E$2:E292)+1,0)</f>
        <v>0</v>
      </c>
      <c r="F293" s="56" t="s">
        <v>369</v>
      </c>
      <c r="H293" s="55" t="str">
        <f ca="1">IFERROR(VLOOKUP(ROWS($H$3:H293),E:F,2,0),"")</f>
        <v/>
      </c>
    </row>
    <row r="294" spans="1:8" x14ac:dyDescent="0.25">
      <c r="A294" s="54">
        <v>1060514100</v>
      </c>
      <c r="B294" s="54">
        <v>10605141</v>
      </c>
      <c r="C294" s="54">
        <f>RIGHT(Table1[[#This Row],[UACS]],2)*1</f>
        <v>0</v>
      </c>
      <c r="D294" s="54">
        <v>10605141</v>
      </c>
      <c r="E294" s="54">
        <f ca="1">IF(ISNUMBER(SEARCH($I$1,F294)),MAX($E$2:E293)+1,0)</f>
        <v>0</v>
      </c>
      <c r="F294" s="56" t="s">
        <v>370</v>
      </c>
      <c r="H294" s="55" t="str">
        <f ca="1">IFERROR(VLOOKUP(ROWS($H$3:H294),E:F,2,0),"")</f>
        <v/>
      </c>
    </row>
    <row r="295" spans="1:8" x14ac:dyDescent="0.25">
      <c r="A295" s="54">
        <v>1060514200</v>
      </c>
      <c r="B295" s="54">
        <v>10605142</v>
      </c>
      <c r="C295" s="54">
        <f>RIGHT(Table1[[#This Row],[UACS]],2)*1</f>
        <v>0</v>
      </c>
      <c r="D295" s="54">
        <v>10605142</v>
      </c>
      <c r="E295" s="54">
        <f ca="1">IF(ISNUMBER(SEARCH($I$1,F295)),MAX($E$2:E294)+1,0)</f>
        <v>0</v>
      </c>
      <c r="F295" s="56" t="s">
        <v>371</v>
      </c>
      <c r="H295" s="55" t="str">
        <f ca="1">IFERROR(VLOOKUP(ROWS($H$3:H295),E:F,2,0),"")</f>
        <v/>
      </c>
    </row>
    <row r="296" spans="1:8" x14ac:dyDescent="0.25">
      <c r="A296" s="54">
        <v>1060599000</v>
      </c>
      <c r="B296" s="54">
        <v>10605990</v>
      </c>
      <c r="C296" s="54">
        <f>RIGHT(Table1[[#This Row],[UACS]],2)*1</f>
        <v>0</v>
      </c>
      <c r="D296" s="54">
        <v>10605990</v>
      </c>
      <c r="E296" s="54">
        <f ca="1">IF(ISNUMBER(SEARCH($I$1,F296)),MAX($E$2:E295)+1,0)</f>
        <v>0</v>
      </c>
      <c r="F296" s="56" t="s">
        <v>372</v>
      </c>
      <c r="H296" s="55" t="str">
        <f ca="1">IFERROR(VLOOKUP(ROWS($H$3:H296),E:F,2,0),"")</f>
        <v/>
      </c>
    </row>
    <row r="297" spans="1:8" x14ac:dyDescent="0.25">
      <c r="A297" s="54">
        <v>1060599100</v>
      </c>
      <c r="B297" s="54">
        <v>10605991</v>
      </c>
      <c r="C297" s="54">
        <f>RIGHT(Table1[[#This Row],[UACS]],2)*1</f>
        <v>0</v>
      </c>
      <c r="D297" s="54">
        <v>10605991</v>
      </c>
      <c r="E297" s="54">
        <f ca="1">IF(ISNUMBER(SEARCH($I$1,F297)),MAX($E$2:E296)+1,0)</f>
        <v>0</v>
      </c>
      <c r="F297" s="56" t="s">
        <v>373</v>
      </c>
      <c r="H297" s="55" t="str">
        <f ca="1">IFERROR(VLOOKUP(ROWS($H$3:H297),E:F,2,0),"")</f>
        <v/>
      </c>
    </row>
    <row r="298" spans="1:8" x14ac:dyDescent="0.25">
      <c r="A298" s="54">
        <v>1060599200</v>
      </c>
      <c r="B298" s="54">
        <v>10605992</v>
      </c>
      <c r="C298" s="54">
        <f>RIGHT(Table1[[#This Row],[UACS]],2)*1</f>
        <v>0</v>
      </c>
      <c r="D298" s="54">
        <v>10605992</v>
      </c>
      <c r="E298" s="54">
        <f ca="1">IF(ISNUMBER(SEARCH($I$1,F298)),MAX($E$2:E297)+1,0)</f>
        <v>0</v>
      </c>
      <c r="F298" s="56" t="s">
        <v>374</v>
      </c>
      <c r="H298" s="55" t="str">
        <f ca="1">IFERROR(VLOOKUP(ROWS($H$3:H298),E:F,2,0),"")</f>
        <v/>
      </c>
    </row>
    <row r="299" spans="1:8" x14ac:dyDescent="0.25">
      <c r="A299" s="54">
        <v>1060601000</v>
      </c>
      <c r="B299" s="54">
        <v>10606010</v>
      </c>
      <c r="C299" s="54">
        <f>RIGHT(Table1[[#This Row],[UACS]],2)*1</f>
        <v>0</v>
      </c>
      <c r="D299" s="54">
        <v>10606010</v>
      </c>
      <c r="E299" s="54">
        <f ca="1">IF(ISNUMBER(SEARCH($I$1,F299)),MAX($E$2:E298)+1,0)</f>
        <v>0</v>
      </c>
      <c r="F299" s="56" t="s">
        <v>375</v>
      </c>
      <c r="H299" s="55" t="str">
        <f ca="1">IFERROR(VLOOKUP(ROWS($H$3:H299),E:F,2,0),"")</f>
        <v/>
      </c>
    </row>
    <row r="300" spans="1:8" x14ac:dyDescent="0.25">
      <c r="A300" s="54">
        <v>1060601100</v>
      </c>
      <c r="B300" s="54">
        <v>10606011</v>
      </c>
      <c r="C300" s="54">
        <f>RIGHT(Table1[[#This Row],[UACS]],2)*1</f>
        <v>0</v>
      </c>
      <c r="D300" s="54">
        <v>10606011</v>
      </c>
      <c r="E300" s="54">
        <f ca="1">IF(ISNUMBER(SEARCH($I$1,F300)),MAX($E$2:E299)+1,0)</f>
        <v>0</v>
      </c>
      <c r="F300" s="56" t="s">
        <v>376</v>
      </c>
      <c r="H300" s="55" t="str">
        <f ca="1">IFERROR(VLOOKUP(ROWS($H$3:H300),E:F,2,0),"")</f>
        <v/>
      </c>
    </row>
    <row r="301" spans="1:8" x14ac:dyDescent="0.25">
      <c r="A301" s="54">
        <v>1060601200</v>
      </c>
      <c r="B301" s="54">
        <v>10606012</v>
      </c>
      <c r="C301" s="54">
        <f>RIGHT(Table1[[#This Row],[UACS]],2)*1</f>
        <v>0</v>
      </c>
      <c r="D301" s="54">
        <v>10606012</v>
      </c>
      <c r="E301" s="54">
        <f ca="1">IF(ISNUMBER(SEARCH($I$1,F301)),MAX($E$2:E300)+1,0)</f>
        <v>0</v>
      </c>
      <c r="F301" s="56" t="s">
        <v>377</v>
      </c>
      <c r="H301" s="55" t="str">
        <f ca="1">IFERROR(VLOOKUP(ROWS($H$3:H301),E:F,2,0),"")</f>
        <v/>
      </c>
    </row>
    <row r="302" spans="1:8" x14ac:dyDescent="0.25">
      <c r="A302" s="54">
        <v>1060602000</v>
      </c>
      <c r="B302" s="54">
        <v>10606020</v>
      </c>
      <c r="C302" s="54">
        <f>RIGHT(Table1[[#This Row],[UACS]],2)*1</f>
        <v>0</v>
      </c>
      <c r="D302" s="54">
        <v>10606020</v>
      </c>
      <c r="E302" s="54">
        <f ca="1">IF(ISNUMBER(SEARCH($I$1,F302)),MAX($E$2:E301)+1,0)</f>
        <v>0</v>
      </c>
      <c r="F302" s="56" t="s">
        <v>378</v>
      </c>
      <c r="H302" s="55" t="str">
        <f ca="1">IFERROR(VLOOKUP(ROWS($H$3:H302),E:F,2,0),"")</f>
        <v/>
      </c>
    </row>
    <row r="303" spans="1:8" x14ac:dyDescent="0.25">
      <c r="A303" s="54">
        <v>1060602100</v>
      </c>
      <c r="B303" s="54">
        <v>10606021</v>
      </c>
      <c r="C303" s="54">
        <f>RIGHT(Table1[[#This Row],[UACS]],2)*1</f>
        <v>0</v>
      </c>
      <c r="D303" s="54">
        <v>10606021</v>
      </c>
      <c r="E303" s="54">
        <f ca="1">IF(ISNUMBER(SEARCH($I$1,F303)),MAX($E$2:E302)+1,0)</f>
        <v>0</v>
      </c>
      <c r="F303" s="56" t="s">
        <v>379</v>
      </c>
      <c r="H303" s="55" t="str">
        <f ca="1">IFERROR(VLOOKUP(ROWS($H$3:H303),E:F,2,0),"")</f>
        <v/>
      </c>
    </row>
    <row r="304" spans="1:8" x14ac:dyDescent="0.25">
      <c r="A304" s="54">
        <v>1060602200</v>
      </c>
      <c r="B304" s="54">
        <v>10606022</v>
      </c>
      <c r="C304" s="54">
        <f>RIGHT(Table1[[#This Row],[UACS]],2)*1</f>
        <v>0</v>
      </c>
      <c r="D304" s="54">
        <v>10606022</v>
      </c>
      <c r="E304" s="54">
        <f ca="1">IF(ISNUMBER(SEARCH($I$1,F304)),MAX($E$2:E303)+1,0)</f>
        <v>0</v>
      </c>
      <c r="F304" s="56" t="s">
        <v>380</v>
      </c>
      <c r="H304" s="55" t="str">
        <f ca="1">IFERROR(VLOOKUP(ROWS($H$3:H304),E:F,2,0),"")</f>
        <v/>
      </c>
    </row>
    <row r="305" spans="1:8" x14ac:dyDescent="0.25">
      <c r="A305" s="54">
        <v>1060603000</v>
      </c>
      <c r="B305" s="54">
        <v>10606030</v>
      </c>
      <c r="C305" s="54">
        <f>RIGHT(Table1[[#This Row],[UACS]],2)*1</f>
        <v>0</v>
      </c>
      <c r="D305" s="54">
        <v>10606030</v>
      </c>
      <c r="E305" s="54">
        <f ca="1">IF(ISNUMBER(SEARCH($I$1,F305)),MAX($E$2:E304)+1,0)</f>
        <v>0</v>
      </c>
      <c r="F305" s="56" t="s">
        <v>381</v>
      </c>
      <c r="H305" s="55" t="str">
        <f ca="1">IFERROR(VLOOKUP(ROWS($H$3:H305),E:F,2,0),"")</f>
        <v/>
      </c>
    </row>
    <row r="306" spans="1:8" x14ac:dyDescent="0.25">
      <c r="A306" s="54">
        <v>1060603100</v>
      </c>
      <c r="B306" s="54">
        <v>10606031</v>
      </c>
      <c r="C306" s="54">
        <f>RIGHT(Table1[[#This Row],[UACS]],2)*1</f>
        <v>0</v>
      </c>
      <c r="D306" s="54">
        <v>10606031</v>
      </c>
      <c r="E306" s="54">
        <f ca="1">IF(ISNUMBER(SEARCH($I$1,F306)),MAX($E$2:E305)+1,0)</f>
        <v>0</v>
      </c>
      <c r="F306" s="56" t="s">
        <v>382</v>
      </c>
      <c r="H306" s="55" t="str">
        <f ca="1">IFERROR(VLOOKUP(ROWS($H$3:H306),E:F,2,0),"")</f>
        <v/>
      </c>
    </row>
    <row r="307" spans="1:8" x14ac:dyDescent="0.25">
      <c r="A307" s="54">
        <v>1060603200</v>
      </c>
      <c r="B307" s="54">
        <v>10606032</v>
      </c>
      <c r="C307" s="54">
        <f>RIGHT(Table1[[#This Row],[UACS]],2)*1</f>
        <v>0</v>
      </c>
      <c r="D307" s="54">
        <v>10606032</v>
      </c>
      <c r="E307" s="54">
        <f ca="1">IF(ISNUMBER(SEARCH($I$1,F307)),MAX($E$2:E306)+1,0)</f>
        <v>0</v>
      </c>
      <c r="F307" s="56" t="s">
        <v>383</v>
      </c>
      <c r="H307" s="55" t="str">
        <f ca="1">IFERROR(VLOOKUP(ROWS($H$3:H307),E:F,2,0),"")</f>
        <v/>
      </c>
    </row>
    <row r="308" spans="1:8" x14ac:dyDescent="0.25">
      <c r="A308" s="54">
        <v>1060604000</v>
      </c>
      <c r="B308" s="54">
        <v>10606040</v>
      </c>
      <c r="C308" s="54">
        <f>RIGHT(Table1[[#This Row],[UACS]],2)*1</f>
        <v>0</v>
      </c>
      <c r="D308" s="54">
        <v>10606040</v>
      </c>
      <c r="E308" s="54">
        <f ca="1">IF(ISNUMBER(SEARCH($I$1,F308)),MAX($E$2:E307)+1,0)</f>
        <v>0</v>
      </c>
      <c r="F308" s="56" t="s">
        <v>384</v>
      </c>
      <c r="H308" s="55" t="str">
        <f ca="1">IFERROR(VLOOKUP(ROWS($H$3:H308),E:F,2,0),"")</f>
        <v/>
      </c>
    </row>
    <row r="309" spans="1:8" x14ac:dyDescent="0.25">
      <c r="A309" s="54">
        <v>1060604100</v>
      </c>
      <c r="B309" s="54">
        <v>10606041</v>
      </c>
      <c r="C309" s="54">
        <f>RIGHT(Table1[[#This Row],[UACS]],2)*1</f>
        <v>0</v>
      </c>
      <c r="D309" s="54">
        <v>10606041</v>
      </c>
      <c r="E309" s="54">
        <f ca="1">IF(ISNUMBER(SEARCH($I$1,F309)),MAX($E$2:E308)+1,0)</f>
        <v>0</v>
      </c>
      <c r="F309" s="56" t="s">
        <v>385</v>
      </c>
      <c r="H309" s="55" t="str">
        <f ca="1">IFERROR(VLOOKUP(ROWS($H$3:H309),E:F,2,0),"")</f>
        <v/>
      </c>
    </row>
    <row r="310" spans="1:8" x14ac:dyDescent="0.25">
      <c r="A310" s="54">
        <v>1060604200</v>
      </c>
      <c r="B310" s="54">
        <v>10606042</v>
      </c>
      <c r="C310" s="54">
        <f>RIGHT(Table1[[#This Row],[UACS]],2)*1</f>
        <v>0</v>
      </c>
      <c r="D310" s="54">
        <v>10606042</v>
      </c>
      <c r="E310" s="54">
        <f ca="1">IF(ISNUMBER(SEARCH($I$1,F310)),MAX($E$2:E309)+1,0)</f>
        <v>0</v>
      </c>
      <c r="F310" s="56" t="s">
        <v>386</v>
      </c>
      <c r="H310" s="55" t="str">
        <f ca="1">IFERROR(VLOOKUP(ROWS($H$3:H310),E:F,2,0),"")</f>
        <v/>
      </c>
    </row>
    <row r="311" spans="1:8" x14ac:dyDescent="0.25">
      <c r="A311" s="54">
        <v>1060699000</v>
      </c>
      <c r="B311" s="54">
        <v>10606990</v>
      </c>
      <c r="C311" s="54">
        <f>RIGHT(Table1[[#This Row],[UACS]],2)*1</f>
        <v>0</v>
      </c>
      <c r="D311" s="54">
        <v>10606990</v>
      </c>
      <c r="E311" s="54">
        <f ca="1">IF(ISNUMBER(SEARCH($I$1,F311)),MAX($E$2:E310)+1,0)</f>
        <v>0</v>
      </c>
      <c r="F311" s="56" t="s">
        <v>387</v>
      </c>
      <c r="H311" s="55" t="str">
        <f ca="1">IFERROR(VLOOKUP(ROWS($H$3:H311),E:F,2,0),"")</f>
        <v/>
      </c>
    </row>
    <row r="312" spans="1:8" x14ac:dyDescent="0.25">
      <c r="A312" s="54">
        <v>1060699100</v>
      </c>
      <c r="B312" s="54">
        <v>10606991</v>
      </c>
      <c r="C312" s="54">
        <f>RIGHT(Table1[[#This Row],[UACS]],2)*1</f>
        <v>0</v>
      </c>
      <c r="D312" s="54">
        <v>10606991</v>
      </c>
      <c r="E312" s="54">
        <f ca="1">IF(ISNUMBER(SEARCH($I$1,F312)),MAX($E$2:E311)+1,0)</f>
        <v>0</v>
      </c>
      <c r="F312" s="56" t="s">
        <v>388</v>
      </c>
      <c r="H312" s="55" t="str">
        <f ca="1">IFERROR(VLOOKUP(ROWS($H$3:H312),E:F,2,0),"")</f>
        <v/>
      </c>
    </row>
    <row r="313" spans="1:8" x14ac:dyDescent="0.25">
      <c r="A313" s="54">
        <v>1060699200</v>
      </c>
      <c r="B313" s="54">
        <v>10606992</v>
      </c>
      <c r="C313" s="54">
        <f>RIGHT(Table1[[#This Row],[UACS]],2)*1</f>
        <v>0</v>
      </c>
      <c r="D313" s="54">
        <v>10606992</v>
      </c>
      <c r="E313" s="54">
        <f ca="1">IF(ISNUMBER(SEARCH($I$1,F313)),MAX($E$2:E312)+1,0)</f>
        <v>0</v>
      </c>
      <c r="F313" s="56" t="s">
        <v>389</v>
      </c>
      <c r="H313" s="55" t="str">
        <f ca="1">IFERROR(VLOOKUP(ROWS($H$3:H313),E:F,2,0),"")</f>
        <v/>
      </c>
    </row>
    <row r="314" spans="1:8" x14ac:dyDescent="0.25">
      <c r="A314" s="54">
        <v>1060701000</v>
      </c>
      <c r="B314" s="54">
        <v>10607010</v>
      </c>
      <c r="C314" s="54">
        <f>RIGHT(Table1[[#This Row],[UACS]],2)*1</f>
        <v>0</v>
      </c>
      <c r="D314" s="54">
        <v>10607010</v>
      </c>
      <c r="E314" s="54">
        <f ca="1">IF(ISNUMBER(SEARCH($I$1,F314)),MAX($E$2:E313)+1,0)</f>
        <v>0</v>
      </c>
      <c r="F314" s="56" t="s">
        <v>390</v>
      </c>
      <c r="H314" s="55" t="str">
        <f ca="1">IFERROR(VLOOKUP(ROWS($H$3:H314),E:F,2,0),"")</f>
        <v/>
      </c>
    </row>
    <row r="315" spans="1:8" x14ac:dyDescent="0.25">
      <c r="A315" s="54">
        <v>1060701100</v>
      </c>
      <c r="B315" s="54">
        <v>10607011</v>
      </c>
      <c r="C315" s="54">
        <f>RIGHT(Table1[[#This Row],[UACS]],2)*1</f>
        <v>0</v>
      </c>
      <c r="D315" s="54">
        <v>10607011</v>
      </c>
      <c r="E315" s="54">
        <f ca="1">IF(ISNUMBER(SEARCH($I$1,F315)),MAX($E$2:E314)+1,0)</f>
        <v>0</v>
      </c>
      <c r="F315" s="56" t="s">
        <v>391</v>
      </c>
      <c r="H315" s="55" t="str">
        <f ca="1">IFERROR(VLOOKUP(ROWS($H$3:H315),E:F,2,0),"")</f>
        <v/>
      </c>
    </row>
    <row r="316" spans="1:8" x14ac:dyDescent="0.25">
      <c r="A316" s="54">
        <v>1060701200</v>
      </c>
      <c r="B316" s="54">
        <v>10607012</v>
      </c>
      <c r="C316" s="54">
        <f>RIGHT(Table1[[#This Row],[UACS]],2)*1</f>
        <v>0</v>
      </c>
      <c r="D316" s="54">
        <v>10607012</v>
      </c>
      <c r="E316" s="54">
        <f ca="1">IF(ISNUMBER(SEARCH($I$1,F316)),MAX($E$2:E315)+1,0)</f>
        <v>0</v>
      </c>
      <c r="F316" s="56" t="s">
        <v>392</v>
      </c>
      <c r="H316" s="55" t="str">
        <f ca="1">IFERROR(VLOOKUP(ROWS($H$3:H316),E:F,2,0),"")</f>
        <v/>
      </c>
    </row>
    <row r="317" spans="1:8" x14ac:dyDescent="0.25">
      <c r="A317" s="54">
        <v>1060702000</v>
      </c>
      <c r="B317" s="54">
        <v>10607020</v>
      </c>
      <c r="C317" s="54">
        <f>RIGHT(Table1[[#This Row],[UACS]],2)*1</f>
        <v>0</v>
      </c>
      <c r="D317" s="54">
        <v>10607020</v>
      </c>
      <c r="E317" s="54">
        <f ca="1">IF(ISNUMBER(SEARCH($I$1,F317)),MAX($E$2:E316)+1,0)</f>
        <v>0</v>
      </c>
      <c r="F317" s="56" t="s">
        <v>393</v>
      </c>
      <c r="H317" s="55" t="str">
        <f ca="1">IFERROR(VLOOKUP(ROWS($H$3:H317),E:F,2,0),"")</f>
        <v/>
      </c>
    </row>
    <row r="318" spans="1:8" x14ac:dyDescent="0.25">
      <c r="A318" s="54">
        <v>1060702100</v>
      </c>
      <c r="B318" s="54">
        <v>10607021</v>
      </c>
      <c r="C318" s="54">
        <f>RIGHT(Table1[[#This Row],[UACS]],2)*1</f>
        <v>0</v>
      </c>
      <c r="D318" s="54">
        <v>10607021</v>
      </c>
      <c r="E318" s="54">
        <f ca="1">IF(ISNUMBER(SEARCH($I$1,F318)),MAX($E$2:E317)+1,0)</f>
        <v>0</v>
      </c>
      <c r="F318" s="56" t="s">
        <v>394</v>
      </c>
      <c r="H318" s="55" t="str">
        <f ca="1">IFERROR(VLOOKUP(ROWS($H$3:H318),E:F,2,0),"")</f>
        <v/>
      </c>
    </row>
    <row r="319" spans="1:8" x14ac:dyDescent="0.25">
      <c r="A319" s="54">
        <v>1060702200</v>
      </c>
      <c r="B319" s="54">
        <v>10607022</v>
      </c>
      <c r="C319" s="54">
        <f>RIGHT(Table1[[#This Row],[UACS]],2)*1</f>
        <v>0</v>
      </c>
      <c r="D319" s="54">
        <v>10607022</v>
      </c>
      <c r="E319" s="54">
        <f ca="1">IF(ISNUMBER(SEARCH($I$1,F319)),MAX($E$2:E318)+1,0)</f>
        <v>0</v>
      </c>
      <c r="F319" s="56" t="s">
        <v>395</v>
      </c>
      <c r="H319" s="55" t="str">
        <f ca="1">IFERROR(VLOOKUP(ROWS($H$3:H319),E:F,2,0),"")</f>
        <v/>
      </c>
    </row>
    <row r="320" spans="1:8" x14ac:dyDescent="0.25">
      <c r="A320" s="54">
        <v>1060801000</v>
      </c>
      <c r="B320" s="54">
        <v>10608010</v>
      </c>
      <c r="C320" s="54">
        <f>RIGHT(Table1[[#This Row],[UACS]],2)*1</f>
        <v>0</v>
      </c>
      <c r="D320" s="54">
        <v>10608010</v>
      </c>
      <c r="E320" s="54">
        <f ca="1">IF(ISNUMBER(SEARCH($I$1,F320)),MAX($E$2:E319)+1,0)</f>
        <v>0</v>
      </c>
      <c r="F320" s="56" t="s">
        <v>396</v>
      </c>
      <c r="H320" s="55" t="str">
        <f ca="1">IFERROR(VLOOKUP(ROWS($H$3:H320),E:F,2,0),"")</f>
        <v/>
      </c>
    </row>
    <row r="321" spans="1:8" x14ac:dyDescent="0.25">
      <c r="A321" s="54">
        <v>1060802000</v>
      </c>
      <c r="B321" s="54">
        <v>10608020</v>
      </c>
      <c r="C321" s="54">
        <f>RIGHT(Table1[[#This Row],[UACS]],2)*1</f>
        <v>0</v>
      </c>
      <c r="D321" s="54">
        <v>10608020</v>
      </c>
      <c r="E321" s="54">
        <f ca="1">IF(ISNUMBER(SEARCH($I$1,F321)),MAX($E$2:E320)+1,0)</f>
        <v>0</v>
      </c>
      <c r="F321" s="56" t="s">
        <v>397</v>
      </c>
      <c r="H321" s="55" t="str">
        <f ca="1">IFERROR(VLOOKUP(ROWS($H$3:H321),E:F,2,0),"")</f>
        <v/>
      </c>
    </row>
    <row r="322" spans="1:8" x14ac:dyDescent="0.25">
      <c r="A322" s="54">
        <v>1060802100</v>
      </c>
      <c r="B322" s="54">
        <v>10608021</v>
      </c>
      <c r="C322" s="54">
        <f>RIGHT(Table1[[#This Row],[UACS]],2)*1</f>
        <v>0</v>
      </c>
      <c r="D322" s="54">
        <v>10608021</v>
      </c>
      <c r="E322" s="54">
        <f ca="1">IF(ISNUMBER(SEARCH($I$1,F322)),MAX($E$2:E321)+1,0)</f>
        <v>0</v>
      </c>
      <c r="F322" s="56" t="s">
        <v>398</v>
      </c>
      <c r="H322" s="55" t="str">
        <f ca="1">IFERROR(VLOOKUP(ROWS($H$3:H322),E:F,2,0),"")</f>
        <v/>
      </c>
    </row>
    <row r="323" spans="1:8" x14ac:dyDescent="0.25">
      <c r="A323" s="54">
        <v>1060802200</v>
      </c>
      <c r="B323" s="54">
        <v>10608022</v>
      </c>
      <c r="C323" s="54">
        <f>RIGHT(Table1[[#This Row],[UACS]],2)*1</f>
        <v>0</v>
      </c>
      <c r="D323" s="54">
        <v>10608022</v>
      </c>
      <c r="E323" s="54">
        <f ca="1">IF(ISNUMBER(SEARCH($I$1,F323)),MAX($E$2:E322)+1,0)</f>
        <v>0</v>
      </c>
      <c r="F323" s="56" t="s">
        <v>399</v>
      </c>
      <c r="H323" s="55" t="str">
        <f ca="1">IFERROR(VLOOKUP(ROWS($H$3:H323),E:F,2,0),"")</f>
        <v/>
      </c>
    </row>
    <row r="324" spans="1:8" x14ac:dyDescent="0.25">
      <c r="A324" s="54">
        <v>1060803000</v>
      </c>
      <c r="B324" s="54">
        <v>10608030</v>
      </c>
      <c r="C324" s="54">
        <f>RIGHT(Table1[[#This Row],[UACS]],2)*1</f>
        <v>0</v>
      </c>
      <c r="D324" s="54">
        <v>10608030</v>
      </c>
      <c r="E324" s="54">
        <f ca="1">IF(ISNUMBER(SEARCH($I$1,F324)),MAX($E$2:E323)+1,0)</f>
        <v>0</v>
      </c>
      <c r="F324" s="56" t="s">
        <v>400</v>
      </c>
      <c r="H324" s="55" t="str">
        <f ca="1">IFERROR(VLOOKUP(ROWS($H$3:H324),E:F,2,0),"")</f>
        <v/>
      </c>
    </row>
    <row r="325" spans="1:8" x14ac:dyDescent="0.25">
      <c r="A325" s="54">
        <v>1060803100</v>
      </c>
      <c r="B325" s="54">
        <v>10608031</v>
      </c>
      <c r="C325" s="54">
        <f>RIGHT(Table1[[#This Row],[UACS]],2)*1</f>
        <v>0</v>
      </c>
      <c r="D325" s="54">
        <v>10608031</v>
      </c>
      <c r="E325" s="54">
        <f ca="1">IF(ISNUMBER(SEARCH($I$1,F325)),MAX($E$2:E324)+1,0)</f>
        <v>0</v>
      </c>
      <c r="F325" s="56" t="s">
        <v>401</v>
      </c>
      <c r="H325" s="55" t="str">
        <f ca="1">IFERROR(VLOOKUP(ROWS($H$3:H325),E:F,2,0),"")</f>
        <v/>
      </c>
    </row>
    <row r="326" spans="1:8" x14ac:dyDescent="0.25">
      <c r="A326" s="54">
        <v>1060803200</v>
      </c>
      <c r="B326" s="54">
        <v>10608032</v>
      </c>
      <c r="C326" s="54">
        <f>RIGHT(Table1[[#This Row],[UACS]],2)*1</f>
        <v>0</v>
      </c>
      <c r="D326" s="54">
        <v>10608032</v>
      </c>
      <c r="E326" s="54">
        <f ca="1">IF(ISNUMBER(SEARCH($I$1,F326)),MAX($E$2:E325)+1,0)</f>
        <v>0</v>
      </c>
      <c r="F326" s="56" t="s">
        <v>402</v>
      </c>
      <c r="H326" s="55" t="str">
        <f ca="1">IFERROR(VLOOKUP(ROWS($H$3:H326),E:F,2,0),"")</f>
        <v/>
      </c>
    </row>
    <row r="327" spans="1:8" x14ac:dyDescent="0.25">
      <c r="A327" s="54">
        <v>1060804000</v>
      </c>
      <c r="B327" s="54">
        <v>10608040</v>
      </c>
      <c r="C327" s="54">
        <f>RIGHT(Table1[[#This Row],[UACS]],2)*1</f>
        <v>0</v>
      </c>
      <c r="D327" s="54">
        <v>10608040</v>
      </c>
      <c r="E327" s="54">
        <f ca="1">IF(ISNUMBER(SEARCH($I$1,F327)),MAX($E$2:E326)+1,0)</f>
        <v>0</v>
      </c>
      <c r="F327" s="56" t="s">
        <v>403</v>
      </c>
      <c r="H327" s="55" t="str">
        <f ca="1">IFERROR(VLOOKUP(ROWS($H$3:H327),E:F,2,0),"")</f>
        <v/>
      </c>
    </row>
    <row r="328" spans="1:8" x14ac:dyDescent="0.25">
      <c r="A328" s="54">
        <v>1060804100</v>
      </c>
      <c r="B328" s="54">
        <v>10608041</v>
      </c>
      <c r="C328" s="54">
        <f>RIGHT(Table1[[#This Row],[UACS]],2)*1</f>
        <v>0</v>
      </c>
      <c r="D328" s="54">
        <v>10608041</v>
      </c>
      <c r="E328" s="54">
        <f ca="1">IF(ISNUMBER(SEARCH($I$1,F328)),MAX($E$2:E327)+1,0)</f>
        <v>0</v>
      </c>
      <c r="F328" s="56" t="s">
        <v>404</v>
      </c>
      <c r="H328" s="55" t="str">
        <f ca="1">IFERROR(VLOOKUP(ROWS($H$3:H328),E:F,2,0),"")</f>
        <v/>
      </c>
    </row>
    <row r="329" spans="1:8" x14ac:dyDescent="0.25">
      <c r="A329" s="54">
        <v>1060804200</v>
      </c>
      <c r="B329" s="54">
        <v>10608042</v>
      </c>
      <c r="C329" s="54">
        <f>RIGHT(Table1[[#This Row],[UACS]],2)*1</f>
        <v>0</v>
      </c>
      <c r="D329" s="54">
        <v>10608042</v>
      </c>
      <c r="E329" s="54">
        <f ca="1">IF(ISNUMBER(SEARCH($I$1,F329)),MAX($E$2:E328)+1,0)</f>
        <v>0</v>
      </c>
      <c r="F329" s="56" t="s">
        <v>405</v>
      </c>
      <c r="H329" s="55" t="str">
        <f ca="1">IFERROR(VLOOKUP(ROWS($H$3:H329),E:F,2,0),"")</f>
        <v/>
      </c>
    </row>
    <row r="330" spans="1:8" x14ac:dyDescent="0.25">
      <c r="A330" s="54">
        <v>1060899000</v>
      </c>
      <c r="B330" s="54">
        <v>10608990</v>
      </c>
      <c r="C330" s="54">
        <f>RIGHT(Table1[[#This Row],[UACS]],2)*1</f>
        <v>0</v>
      </c>
      <c r="D330" s="54">
        <v>10608990</v>
      </c>
      <c r="E330" s="54">
        <f ca="1">IF(ISNUMBER(SEARCH($I$1,F330)),MAX($E$2:E329)+1,0)</f>
        <v>0</v>
      </c>
      <c r="F330" s="56" t="s">
        <v>406</v>
      </c>
      <c r="H330" s="55" t="str">
        <f ca="1">IFERROR(VLOOKUP(ROWS($H$3:H330),E:F,2,0),"")</f>
        <v/>
      </c>
    </row>
    <row r="331" spans="1:8" x14ac:dyDescent="0.25">
      <c r="A331" s="54">
        <v>1060899100</v>
      </c>
      <c r="B331" s="54">
        <v>10608991</v>
      </c>
      <c r="C331" s="54">
        <f>RIGHT(Table1[[#This Row],[UACS]],2)*1</f>
        <v>0</v>
      </c>
      <c r="D331" s="54">
        <v>10608991</v>
      </c>
      <c r="E331" s="54">
        <f ca="1">IF(ISNUMBER(SEARCH($I$1,F331)),MAX($E$2:E330)+1,0)</f>
        <v>0</v>
      </c>
      <c r="F331" s="56" t="s">
        <v>407</v>
      </c>
      <c r="H331" s="55" t="str">
        <f ca="1">IFERROR(VLOOKUP(ROWS($H$3:H331),E:F,2,0),"")</f>
        <v/>
      </c>
    </row>
    <row r="332" spans="1:8" x14ac:dyDescent="0.25">
      <c r="A332" s="54">
        <v>1060899200</v>
      </c>
      <c r="B332" s="54">
        <v>10608992</v>
      </c>
      <c r="C332" s="54">
        <f>RIGHT(Table1[[#This Row],[UACS]],2)*1</f>
        <v>0</v>
      </c>
      <c r="D332" s="54">
        <v>10608992</v>
      </c>
      <c r="E332" s="54">
        <f ca="1">IF(ISNUMBER(SEARCH($I$1,F332)),MAX($E$2:E331)+1,0)</f>
        <v>0</v>
      </c>
      <c r="F332" s="56" t="s">
        <v>408</v>
      </c>
      <c r="H332" s="55" t="str">
        <f ca="1">IFERROR(VLOOKUP(ROWS($H$3:H332),E:F,2,0),"")</f>
        <v/>
      </c>
    </row>
    <row r="333" spans="1:8" x14ac:dyDescent="0.25">
      <c r="A333" s="54">
        <v>1060901000</v>
      </c>
      <c r="B333" s="54">
        <v>10609010</v>
      </c>
      <c r="C333" s="54">
        <f>RIGHT(Table1[[#This Row],[UACS]],2)*1</f>
        <v>0</v>
      </c>
      <c r="D333" s="54">
        <v>10609010</v>
      </c>
      <c r="E333" s="54">
        <f ca="1">IF(ISNUMBER(SEARCH($I$1,F333)),MAX($E$2:E332)+1,0)</f>
        <v>0</v>
      </c>
      <c r="F333" s="56" t="s">
        <v>409</v>
      </c>
      <c r="H333" s="55" t="str">
        <f ca="1">IFERROR(VLOOKUP(ROWS($H$3:H333),E:F,2,0),"")</f>
        <v/>
      </c>
    </row>
    <row r="334" spans="1:8" x14ac:dyDescent="0.25">
      <c r="A334" s="54">
        <v>1060901100</v>
      </c>
      <c r="B334" s="54">
        <v>10609011</v>
      </c>
      <c r="C334" s="54">
        <f>RIGHT(Table1[[#This Row],[UACS]],2)*1</f>
        <v>0</v>
      </c>
      <c r="D334" s="54">
        <v>10609011</v>
      </c>
      <c r="E334" s="54">
        <f ca="1">IF(ISNUMBER(SEARCH($I$1,F334)),MAX($E$2:E333)+1,0)</f>
        <v>0</v>
      </c>
      <c r="F334" s="56" t="s">
        <v>410</v>
      </c>
      <c r="H334" s="55" t="str">
        <f ca="1">IFERROR(VLOOKUP(ROWS($H$3:H334),E:F,2,0),"")</f>
        <v/>
      </c>
    </row>
    <row r="335" spans="1:8" x14ac:dyDescent="0.25">
      <c r="A335" s="54">
        <v>1060901200</v>
      </c>
      <c r="B335" s="54">
        <v>10609012</v>
      </c>
      <c r="C335" s="54">
        <f>RIGHT(Table1[[#This Row],[UACS]],2)*1</f>
        <v>0</v>
      </c>
      <c r="D335" s="54">
        <v>10609012</v>
      </c>
      <c r="E335" s="54">
        <f ca="1">IF(ISNUMBER(SEARCH($I$1,F335)),MAX($E$2:E334)+1,0)</f>
        <v>0</v>
      </c>
      <c r="F335" s="56" t="s">
        <v>411</v>
      </c>
      <c r="H335" s="55" t="str">
        <f ca="1">IFERROR(VLOOKUP(ROWS($H$3:H335),E:F,2,0),"")</f>
        <v/>
      </c>
    </row>
    <row r="336" spans="1:8" x14ac:dyDescent="0.25">
      <c r="A336" s="54">
        <v>1060902000</v>
      </c>
      <c r="B336" s="54">
        <v>10609020</v>
      </c>
      <c r="C336" s="54">
        <f>RIGHT(Table1[[#This Row],[UACS]],2)*1</f>
        <v>0</v>
      </c>
      <c r="D336" s="54">
        <v>10609020</v>
      </c>
      <c r="E336" s="54">
        <f ca="1">IF(ISNUMBER(SEARCH($I$1,F336)),MAX($E$2:E335)+1,0)</f>
        <v>0</v>
      </c>
      <c r="F336" s="56" t="s">
        <v>412</v>
      </c>
      <c r="H336" s="55" t="str">
        <f ca="1">IFERROR(VLOOKUP(ROWS($H$3:H336),E:F,2,0),"")</f>
        <v/>
      </c>
    </row>
    <row r="337" spans="1:8" x14ac:dyDescent="0.25">
      <c r="A337" s="54">
        <v>1060902100</v>
      </c>
      <c r="B337" s="54">
        <v>10609021</v>
      </c>
      <c r="C337" s="54">
        <f>RIGHT(Table1[[#This Row],[UACS]],2)*1</f>
        <v>0</v>
      </c>
      <c r="D337" s="54">
        <v>10609021</v>
      </c>
      <c r="E337" s="54">
        <f ca="1">IF(ISNUMBER(SEARCH($I$1,F337)),MAX($E$2:E336)+1,0)</f>
        <v>0</v>
      </c>
      <c r="F337" s="56" t="s">
        <v>413</v>
      </c>
      <c r="H337" s="55" t="str">
        <f ca="1">IFERROR(VLOOKUP(ROWS($H$3:H337),E:F,2,0),"")</f>
        <v/>
      </c>
    </row>
    <row r="338" spans="1:8" x14ac:dyDescent="0.25">
      <c r="A338" s="54">
        <v>1060902200</v>
      </c>
      <c r="B338" s="54">
        <v>10609022</v>
      </c>
      <c r="C338" s="54">
        <f>RIGHT(Table1[[#This Row],[UACS]],2)*1</f>
        <v>0</v>
      </c>
      <c r="D338" s="54">
        <v>10609022</v>
      </c>
      <c r="E338" s="54">
        <f ca="1">IF(ISNUMBER(SEARCH($I$1,F338)),MAX($E$2:E337)+1,0)</f>
        <v>0</v>
      </c>
      <c r="F338" s="56" t="s">
        <v>414</v>
      </c>
      <c r="H338" s="55" t="str">
        <f ca="1">IFERROR(VLOOKUP(ROWS($H$3:H338),E:F,2,0),"")</f>
        <v/>
      </c>
    </row>
    <row r="339" spans="1:8" x14ac:dyDescent="0.25">
      <c r="A339" s="54">
        <v>1060999000</v>
      </c>
      <c r="B339" s="54">
        <v>10609990</v>
      </c>
      <c r="C339" s="54">
        <f>RIGHT(Table1[[#This Row],[UACS]],2)*1</f>
        <v>0</v>
      </c>
      <c r="D339" s="54">
        <v>10609990</v>
      </c>
      <c r="E339" s="54">
        <f ca="1">IF(ISNUMBER(SEARCH($I$1,F339)),MAX($E$2:E338)+1,0)</f>
        <v>0</v>
      </c>
      <c r="F339" s="56" t="s">
        <v>415</v>
      </c>
      <c r="H339" s="55" t="str">
        <f ca="1">IFERROR(VLOOKUP(ROWS($H$3:H339),E:F,2,0),"")</f>
        <v/>
      </c>
    </row>
    <row r="340" spans="1:8" x14ac:dyDescent="0.25">
      <c r="A340" s="54">
        <v>1060999100</v>
      </c>
      <c r="B340" s="54">
        <v>10609991</v>
      </c>
      <c r="C340" s="54">
        <f>RIGHT(Table1[[#This Row],[UACS]],2)*1</f>
        <v>0</v>
      </c>
      <c r="D340" s="54">
        <v>10609991</v>
      </c>
      <c r="E340" s="54">
        <f ca="1">IF(ISNUMBER(SEARCH($I$1,F340)),MAX($E$2:E339)+1,0)</f>
        <v>0</v>
      </c>
      <c r="F340" s="56" t="s">
        <v>416</v>
      </c>
      <c r="H340" s="55" t="str">
        <f ca="1">IFERROR(VLOOKUP(ROWS($H$3:H340),E:F,2,0),"")</f>
        <v/>
      </c>
    </row>
    <row r="341" spans="1:8" x14ac:dyDescent="0.25">
      <c r="A341" s="54">
        <v>1060999200</v>
      </c>
      <c r="B341" s="54">
        <v>10609992</v>
      </c>
      <c r="C341" s="54">
        <f>RIGHT(Table1[[#This Row],[UACS]],2)*1</f>
        <v>0</v>
      </c>
      <c r="D341" s="54">
        <v>10609992</v>
      </c>
      <c r="E341" s="54">
        <f ca="1">IF(ISNUMBER(SEARCH($I$1,F341)),MAX($E$2:E340)+1,0)</f>
        <v>0</v>
      </c>
      <c r="F341" s="56" t="s">
        <v>417</v>
      </c>
      <c r="H341" s="55" t="str">
        <f ca="1">IFERROR(VLOOKUP(ROWS($H$3:H341),E:F,2,0),"")</f>
        <v/>
      </c>
    </row>
    <row r="342" spans="1:8" x14ac:dyDescent="0.25">
      <c r="A342" s="54">
        <v>1061001000</v>
      </c>
      <c r="B342" s="54">
        <v>10610010</v>
      </c>
      <c r="C342" s="54">
        <f>RIGHT(Table1[[#This Row],[UACS]],2)*1</f>
        <v>0</v>
      </c>
      <c r="D342" s="54">
        <v>10610010</v>
      </c>
      <c r="E342" s="54">
        <f ca="1">IF(ISNUMBER(SEARCH($I$1,F342)),MAX($E$2:E341)+1,0)</f>
        <v>0</v>
      </c>
      <c r="F342" s="56" t="s">
        <v>418</v>
      </c>
      <c r="H342" s="55" t="str">
        <f ca="1">IFERROR(VLOOKUP(ROWS($H$3:H342),E:F,2,0),"")</f>
        <v/>
      </c>
    </row>
    <row r="343" spans="1:8" x14ac:dyDescent="0.25">
      <c r="A343" s="54">
        <v>1061001100</v>
      </c>
      <c r="B343" s="54">
        <v>10610011</v>
      </c>
      <c r="C343" s="54">
        <f>RIGHT(Table1[[#This Row],[UACS]],2)*1</f>
        <v>0</v>
      </c>
      <c r="D343" s="54">
        <v>10610011</v>
      </c>
      <c r="E343" s="54">
        <f ca="1">IF(ISNUMBER(SEARCH($I$1,F343)),MAX($E$2:E342)+1,0)</f>
        <v>0</v>
      </c>
      <c r="F343" s="56" t="s">
        <v>419</v>
      </c>
      <c r="H343" s="55" t="str">
        <f ca="1">IFERROR(VLOOKUP(ROWS($H$3:H343),E:F,2,0),"")</f>
        <v/>
      </c>
    </row>
    <row r="344" spans="1:8" x14ac:dyDescent="0.25">
      <c r="A344" s="54">
        <v>1061001200</v>
      </c>
      <c r="B344" s="54">
        <v>10610012</v>
      </c>
      <c r="C344" s="54">
        <f>RIGHT(Table1[[#This Row],[UACS]],2)*1</f>
        <v>0</v>
      </c>
      <c r="D344" s="54">
        <v>10610012</v>
      </c>
      <c r="E344" s="54">
        <f ca="1">IF(ISNUMBER(SEARCH($I$1,F344)),MAX($E$2:E343)+1,0)</f>
        <v>0</v>
      </c>
      <c r="F344" s="56" t="s">
        <v>420</v>
      </c>
      <c r="H344" s="55" t="str">
        <f ca="1">IFERROR(VLOOKUP(ROWS($H$3:H344),E:F,2,0),"")</f>
        <v/>
      </c>
    </row>
    <row r="345" spans="1:8" x14ac:dyDescent="0.25">
      <c r="A345" s="54">
        <v>1061002000</v>
      </c>
      <c r="B345" s="54">
        <v>10610020</v>
      </c>
      <c r="C345" s="54">
        <f>RIGHT(Table1[[#This Row],[UACS]],2)*1</f>
        <v>0</v>
      </c>
      <c r="D345" s="54">
        <v>10610020</v>
      </c>
      <c r="E345" s="54">
        <f ca="1">IF(ISNUMBER(SEARCH($I$1,F345)),MAX($E$2:E344)+1,0)</f>
        <v>0</v>
      </c>
      <c r="F345" s="56" t="s">
        <v>421</v>
      </c>
      <c r="H345" s="55" t="str">
        <f ca="1">IFERROR(VLOOKUP(ROWS($H$3:H345),E:F,2,0),"")</f>
        <v/>
      </c>
    </row>
    <row r="346" spans="1:8" x14ac:dyDescent="0.25">
      <c r="A346" s="54">
        <v>1061002100</v>
      </c>
      <c r="B346" s="54">
        <v>10610021</v>
      </c>
      <c r="C346" s="54">
        <f>RIGHT(Table1[[#This Row],[UACS]],2)*1</f>
        <v>0</v>
      </c>
      <c r="D346" s="54">
        <v>10610021</v>
      </c>
      <c r="E346" s="54">
        <f ca="1">IF(ISNUMBER(SEARCH($I$1,F346)),MAX($E$2:E345)+1,0)</f>
        <v>0</v>
      </c>
      <c r="F346" s="56" t="s">
        <v>422</v>
      </c>
      <c r="H346" s="55" t="str">
        <f ca="1">IFERROR(VLOOKUP(ROWS($H$3:H346),E:F,2,0),"")</f>
        <v/>
      </c>
    </row>
    <row r="347" spans="1:8" x14ac:dyDescent="0.25">
      <c r="A347" s="54">
        <v>1061002200</v>
      </c>
      <c r="B347" s="54">
        <v>10610022</v>
      </c>
      <c r="C347" s="54">
        <f>RIGHT(Table1[[#This Row],[UACS]],2)*1</f>
        <v>0</v>
      </c>
      <c r="D347" s="54">
        <v>10610022</v>
      </c>
      <c r="E347" s="54">
        <f ca="1">IF(ISNUMBER(SEARCH($I$1,F347)),MAX($E$2:E346)+1,0)</f>
        <v>0</v>
      </c>
      <c r="F347" s="56" t="s">
        <v>423</v>
      </c>
      <c r="H347" s="55" t="str">
        <f ca="1">IFERROR(VLOOKUP(ROWS($H$3:H347),E:F,2,0),"")</f>
        <v/>
      </c>
    </row>
    <row r="348" spans="1:8" x14ac:dyDescent="0.25">
      <c r="A348" s="54">
        <v>1061099000</v>
      </c>
      <c r="B348" s="54">
        <v>10610990</v>
      </c>
      <c r="C348" s="54">
        <f>RIGHT(Table1[[#This Row],[UACS]],2)*1</f>
        <v>0</v>
      </c>
      <c r="D348" s="54">
        <v>10610990</v>
      </c>
      <c r="E348" s="54">
        <f ca="1">IF(ISNUMBER(SEARCH($I$1,F348)),MAX($E$2:E347)+1,0)</f>
        <v>0</v>
      </c>
      <c r="F348" s="56" t="s">
        <v>424</v>
      </c>
      <c r="H348" s="55" t="str">
        <f ca="1">IFERROR(VLOOKUP(ROWS($H$3:H348),E:F,2,0),"")</f>
        <v/>
      </c>
    </row>
    <row r="349" spans="1:8" x14ac:dyDescent="0.25">
      <c r="A349" s="54">
        <v>1061099100</v>
      </c>
      <c r="B349" s="54">
        <v>10610991</v>
      </c>
      <c r="C349" s="54">
        <f>RIGHT(Table1[[#This Row],[UACS]],2)*1</f>
        <v>0</v>
      </c>
      <c r="D349" s="54">
        <v>10610991</v>
      </c>
      <c r="E349" s="54">
        <f ca="1">IF(ISNUMBER(SEARCH($I$1,F349)),MAX($E$2:E348)+1,0)</f>
        <v>0</v>
      </c>
      <c r="F349" s="56" t="s">
        <v>425</v>
      </c>
      <c r="H349" s="55" t="str">
        <f ca="1">IFERROR(VLOOKUP(ROWS($H$3:H349),E:F,2,0),"")</f>
        <v/>
      </c>
    </row>
    <row r="350" spans="1:8" x14ac:dyDescent="0.25">
      <c r="A350" s="54">
        <v>1061099200</v>
      </c>
      <c r="B350" s="54">
        <v>10610992</v>
      </c>
      <c r="C350" s="54">
        <f>RIGHT(Table1[[#This Row],[UACS]],2)*1</f>
        <v>0</v>
      </c>
      <c r="D350" s="54">
        <v>10610992</v>
      </c>
      <c r="E350" s="54">
        <f ca="1">IF(ISNUMBER(SEARCH($I$1,F350)),MAX($E$2:E349)+1,0)</f>
        <v>0</v>
      </c>
      <c r="F350" s="56" t="s">
        <v>426</v>
      </c>
      <c r="H350" s="55" t="str">
        <f ca="1">IFERROR(VLOOKUP(ROWS($H$3:H350),E:F,2,0),"")</f>
        <v/>
      </c>
    </row>
    <row r="351" spans="1:8" x14ac:dyDescent="0.25">
      <c r="A351" s="54">
        <v>1061101000</v>
      </c>
      <c r="B351" s="54">
        <v>10611010</v>
      </c>
      <c r="C351" s="54">
        <f>RIGHT(Table1[[#This Row],[UACS]],2)*1</f>
        <v>0</v>
      </c>
      <c r="D351" s="54">
        <v>10611010</v>
      </c>
      <c r="E351" s="54">
        <f ca="1">IF(ISNUMBER(SEARCH($I$1,F351)),MAX($E$2:E350)+1,0)</f>
        <v>0</v>
      </c>
      <c r="F351" s="56" t="s">
        <v>427</v>
      </c>
      <c r="H351" s="55" t="str">
        <f ca="1">IFERROR(VLOOKUP(ROWS($H$3:H351),E:F,2,0),"")</f>
        <v/>
      </c>
    </row>
    <row r="352" spans="1:8" x14ac:dyDescent="0.25">
      <c r="A352" s="54">
        <v>1061101100</v>
      </c>
      <c r="B352" s="54">
        <v>10611011</v>
      </c>
      <c r="C352" s="54">
        <f>RIGHT(Table1[[#This Row],[UACS]],2)*1</f>
        <v>0</v>
      </c>
      <c r="D352" s="54">
        <v>10611011</v>
      </c>
      <c r="E352" s="54">
        <f ca="1">IF(ISNUMBER(SEARCH($I$1,F352)),MAX($E$2:E351)+1,0)</f>
        <v>0</v>
      </c>
      <c r="F352" s="56" t="s">
        <v>428</v>
      </c>
      <c r="H352" s="55" t="str">
        <f ca="1">IFERROR(VLOOKUP(ROWS($H$3:H352),E:F,2,0),"")</f>
        <v/>
      </c>
    </row>
    <row r="353" spans="1:8" x14ac:dyDescent="0.25">
      <c r="A353" s="54">
        <v>1061101200</v>
      </c>
      <c r="B353" s="54">
        <v>10611012</v>
      </c>
      <c r="C353" s="54">
        <f>RIGHT(Table1[[#This Row],[UACS]],2)*1</f>
        <v>0</v>
      </c>
      <c r="D353" s="54">
        <v>10611012</v>
      </c>
      <c r="E353" s="54">
        <f ca="1">IF(ISNUMBER(SEARCH($I$1,F353)),MAX($E$2:E352)+1,0)</f>
        <v>0</v>
      </c>
      <c r="F353" s="56" t="s">
        <v>429</v>
      </c>
      <c r="H353" s="55" t="str">
        <f ca="1">IFERROR(VLOOKUP(ROWS($H$3:H353),E:F,2,0),"")</f>
        <v/>
      </c>
    </row>
    <row r="354" spans="1:8" x14ac:dyDescent="0.25">
      <c r="A354" s="54">
        <v>1061102000</v>
      </c>
      <c r="B354" s="54">
        <v>10611020</v>
      </c>
      <c r="C354" s="54">
        <f>RIGHT(Table1[[#This Row],[UACS]],2)*1</f>
        <v>0</v>
      </c>
      <c r="D354" s="54">
        <v>10611020</v>
      </c>
      <c r="E354" s="54">
        <f ca="1">IF(ISNUMBER(SEARCH($I$1,F354)),MAX($E$2:E353)+1,0)</f>
        <v>0</v>
      </c>
      <c r="F354" s="56" t="s">
        <v>430</v>
      </c>
      <c r="H354" s="55" t="str">
        <f ca="1">IFERROR(VLOOKUP(ROWS($H$3:H354),E:F,2,0),"")</f>
        <v/>
      </c>
    </row>
    <row r="355" spans="1:8" x14ac:dyDescent="0.25">
      <c r="A355" s="54">
        <v>1061102100</v>
      </c>
      <c r="B355" s="54">
        <v>10611021</v>
      </c>
      <c r="C355" s="54">
        <f>RIGHT(Table1[[#This Row],[UACS]],2)*1</f>
        <v>0</v>
      </c>
      <c r="D355" s="54">
        <v>10611021</v>
      </c>
      <c r="E355" s="54">
        <f ca="1">IF(ISNUMBER(SEARCH($I$1,F355)),MAX($E$2:E354)+1,0)</f>
        <v>0</v>
      </c>
      <c r="F355" s="56" t="s">
        <v>431</v>
      </c>
      <c r="H355" s="55" t="str">
        <f ca="1">IFERROR(VLOOKUP(ROWS($H$3:H355),E:F,2,0),"")</f>
        <v/>
      </c>
    </row>
    <row r="356" spans="1:8" x14ac:dyDescent="0.25">
      <c r="A356" s="54">
        <v>1061102200</v>
      </c>
      <c r="B356" s="54">
        <v>10611022</v>
      </c>
      <c r="C356" s="54">
        <f>RIGHT(Table1[[#This Row],[UACS]],2)*1</f>
        <v>0</v>
      </c>
      <c r="D356" s="54">
        <v>10611022</v>
      </c>
      <c r="E356" s="54">
        <f ca="1">IF(ISNUMBER(SEARCH($I$1,F356)),MAX($E$2:E355)+1,0)</f>
        <v>0</v>
      </c>
      <c r="F356" s="56" t="s">
        <v>432</v>
      </c>
      <c r="H356" s="55" t="str">
        <f ca="1">IFERROR(VLOOKUP(ROWS($H$3:H356),E:F,2,0),"")</f>
        <v/>
      </c>
    </row>
    <row r="357" spans="1:8" x14ac:dyDescent="0.25">
      <c r="A357" s="54">
        <v>1061103000</v>
      </c>
      <c r="B357" s="54">
        <v>10611030</v>
      </c>
      <c r="C357" s="54">
        <f>RIGHT(Table1[[#This Row],[UACS]],2)*1</f>
        <v>0</v>
      </c>
      <c r="D357" s="54">
        <v>10611030</v>
      </c>
      <c r="E357" s="54">
        <f ca="1">IF(ISNUMBER(SEARCH($I$1,F357)),MAX($E$2:E356)+1,0)</f>
        <v>0</v>
      </c>
      <c r="F357" s="56" t="s">
        <v>433</v>
      </c>
      <c r="H357" s="55" t="str">
        <f ca="1">IFERROR(VLOOKUP(ROWS($H$3:H357),E:F,2,0),"")</f>
        <v/>
      </c>
    </row>
    <row r="358" spans="1:8" x14ac:dyDescent="0.25">
      <c r="A358" s="54">
        <v>1061103100</v>
      </c>
      <c r="B358" s="54">
        <v>10611031</v>
      </c>
      <c r="C358" s="54">
        <f>RIGHT(Table1[[#This Row],[UACS]],2)*1</f>
        <v>0</v>
      </c>
      <c r="D358" s="54">
        <v>10611031</v>
      </c>
      <c r="E358" s="54">
        <f ca="1">IF(ISNUMBER(SEARCH($I$1,F358)),MAX($E$2:E357)+1,0)</f>
        <v>0</v>
      </c>
      <c r="F358" s="56" t="s">
        <v>434</v>
      </c>
      <c r="H358" s="55" t="str">
        <f ca="1">IFERROR(VLOOKUP(ROWS($H$3:H358),E:F,2,0),"")</f>
        <v/>
      </c>
    </row>
    <row r="359" spans="1:8" x14ac:dyDescent="0.25">
      <c r="A359" s="54">
        <v>1061103200</v>
      </c>
      <c r="B359" s="54">
        <v>10611032</v>
      </c>
      <c r="C359" s="54">
        <f>RIGHT(Table1[[#This Row],[UACS]],2)*1</f>
        <v>0</v>
      </c>
      <c r="D359" s="54">
        <v>10611032</v>
      </c>
      <c r="E359" s="54">
        <f ca="1">IF(ISNUMBER(SEARCH($I$1,F359)),MAX($E$2:E358)+1,0)</f>
        <v>0</v>
      </c>
      <c r="F359" s="56" t="s">
        <v>435</v>
      </c>
      <c r="H359" s="55" t="str">
        <f ca="1">IFERROR(VLOOKUP(ROWS($H$3:H359),E:F,2,0),"")</f>
        <v/>
      </c>
    </row>
    <row r="360" spans="1:8" x14ac:dyDescent="0.25">
      <c r="A360" s="54">
        <v>1061104000</v>
      </c>
      <c r="B360" s="54">
        <v>10611040</v>
      </c>
      <c r="C360" s="54">
        <f>RIGHT(Table1[[#This Row],[UACS]],2)*1</f>
        <v>0</v>
      </c>
      <c r="D360" s="54">
        <v>10611040</v>
      </c>
      <c r="E360" s="54">
        <f ca="1">IF(ISNUMBER(SEARCH($I$1,F360)),MAX($E$2:E359)+1,0)</f>
        <v>0</v>
      </c>
      <c r="F360" s="56" t="s">
        <v>436</v>
      </c>
      <c r="H360" s="55" t="str">
        <f ca="1">IFERROR(VLOOKUP(ROWS($H$3:H360),E:F,2,0),"")</f>
        <v/>
      </c>
    </row>
    <row r="361" spans="1:8" x14ac:dyDescent="0.25">
      <c r="A361" s="54">
        <v>1061104100</v>
      </c>
      <c r="B361" s="54">
        <v>10611041</v>
      </c>
      <c r="C361" s="54">
        <f>RIGHT(Table1[[#This Row],[UACS]],2)*1</f>
        <v>0</v>
      </c>
      <c r="D361" s="54">
        <v>10611041</v>
      </c>
      <c r="E361" s="54">
        <f ca="1">IF(ISNUMBER(SEARCH($I$1,F361)),MAX($E$2:E360)+1,0)</f>
        <v>0</v>
      </c>
      <c r="F361" s="56" t="s">
        <v>437</v>
      </c>
      <c r="H361" s="55" t="str">
        <f ca="1">IFERROR(VLOOKUP(ROWS($H$3:H361),E:F,2,0),"")</f>
        <v/>
      </c>
    </row>
    <row r="362" spans="1:8" x14ac:dyDescent="0.25">
      <c r="A362" s="54">
        <v>1061104200</v>
      </c>
      <c r="B362" s="54">
        <v>10611042</v>
      </c>
      <c r="C362" s="54">
        <f>RIGHT(Table1[[#This Row],[UACS]],2)*1</f>
        <v>0</v>
      </c>
      <c r="D362" s="54">
        <v>10611042</v>
      </c>
      <c r="E362" s="54">
        <f ca="1">IF(ISNUMBER(SEARCH($I$1,F362)),MAX($E$2:E361)+1,0)</f>
        <v>0</v>
      </c>
      <c r="F362" s="56" t="s">
        <v>438</v>
      </c>
      <c r="H362" s="55" t="str">
        <f ca="1">IFERROR(VLOOKUP(ROWS($H$3:H362),E:F,2,0),"")</f>
        <v/>
      </c>
    </row>
    <row r="363" spans="1:8" x14ac:dyDescent="0.25">
      <c r="A363" s="54">
        <v>1061105000</v>
      </c>
      <c r="B363" s="54">
        <v>10611050</v>
      </c>
      <c r="C363" s="54">
        <f>RIGHT(Table1[[#This Row],[UACS]],2)*1</f>
        <v>0</v>
      </c>
      <c r="D363" s="54">
        <v>10611050</v>
      </c>
      <c r="E363" s="54">
        <f ca="1">IF(ISNUMBER(SEARCH($I$1,F363)),MAX($E$2:E362)+1,0)</f>
        <v>0</v>
      </c>
      <c r="F363" s="56" t="s">
        <v>439</v>
      </c>
      <c r="H363" s="55" t="str">
        <f ca="1">IFERROR(VLOOKUP(ROWS($H$3:H363),E:F,2,0),"")</f>
        <v/>
      </c>
    </row>
    <row r="364" spans="1:8" x14ac:dyDescent="0.25">
      <c r="A364" s="54">
        <v>1061105100</v>
      </c>
      <c r="B364" s="54">
        <v>10611051</v>
      </c>
      <c r="C364" s="54">
        <f>RIGHT(Table1[[#This Row],[UACS]],2)*1</f>
        <v>0</v>
      </c>
      <c r="D364" s="54">
        <v>10611051</v>
      </c>
      <c r="E364" s="54">
        <f ca="1">IF(ISNUMBER(SEARCH($I$1,F364)),MAX($E$2:E363)+1,0)</f>
        <v>0</v>
      </c>
      <c r="F364" s="56" t="s">
        <v>440</v>
      </c>
      <c r="H364" s="55" t="str">
        <f ca="1">IFERROR(VLOOKUP(ROWS($H$3:H364),E:F,2,0),"")</f>
        <v/>
      </c>
    </row>
    <row r="365" spans="1:8" x14ac:dyDescent="0.25">
      <c r="A365" s="54">
        <v>1061105200</v>
      </c>
      <c r="B365" s="54">
        <v>10611052</v>
      </c>
      <c r="C365" s="54">
        <f>RIGHT(Table1[[#This Row],[UACS]],2)*1</f>
        <v>0</v>
      </c>
      <c r="D365" s="54">
        <v>10611052</v>
      </c>
      <c r="E365" s="54">
        <f ca="1">IF(ISNUMBER(SEARCH($I$1,F365)),MAX($E$2:E364)+1,0)</f>
        <v>0</v>
      </c>
      <c r="F365" s="56" t="s">
        <v>441</v>
      </c>
      <c r="H365" s="55" t="str">
        <f ca="1">IFERROR(VLOOKUP(ROWS($H$3:H365),E:F,2,0),"")</f>
        <v/>
      </c>
    </row>
    <row r="366" spans="1:8" x14ac:dyDescent="0.25">
      <c r="A366" s="54">
        <v>1061106000</v>
      </c>
      <c r="B366" s="54">
        <v>10611060</v>
      </c>
      <c r="C366" s="54">
        <f>RIGHT(Table1[[#This Row],[UACS]],2)*1</f>
        <v>0</v>
      </c>
      <c r="D366" s="54">
        <v>10611060</v>
      </c>
      <c r="E366" s="54">
        <f ca="1">IF(ISNUMBER(SEARCH($I$1,F366)),MAX($E$2:E365)+1,0)</f>
        <v>0</v>
      </c>
      <c r="F366" s="56" t="s">
        <v>442</v>
      </c>
      <c r="H366" s="55" t="str">
        <f ca="1">IFERROR(VLOOKUP(ROWS($H$3:H366),E:F,2,0),"")</f>
        <v/>
      </c>
    </row>
    <row r="367" spans="1:8" x14ac:dyDescent="0.25">
      <c r="A367" s="54">
        <v>1061106100</v>
      </c>
      <c r="B367" s="54">
        <v>10611061</v>
      </c>
      <c r="C367" s="54">
        <f>RIGHT(Table1[[#This Row],[UACS]],2)*1</f>
        <v>0</v>
      </c>
      <c r="D367" s="54">
        <v>10611061</v>
      </c>
      <c r="E367" s="54">
        <f ca="1">IF(ISNUMBER(SEARCH($I$1,F367)),MAX($E$2:E366)+1,0)</f>
        <v>0</v>
      </c>
      <c r="F367" s="56" t="s">
        <v>443</v>
      </c>
      <c r="H367" s="55" t="str">
        <f ca="1">IFERROR(VLOOKUP(ROWS($H$3:H367),E:F,2,0),"")</f>
        <v/>
      </c>
    </row>
    <row r="368" spans="1:8" x14ac:dyDescent="0.25">
      <c r="A368" s="54">
        <v>1061106200</v>
      </c>
      <c r="B368" s="54">
        <v>10611062</v>
      </c>
      <c r="C368" s="54">
        <f>RIGHT(Table1[[#This Row],[UACS]],2)*1</f>
        <v>0</v>
      </c>
      <c r="D368" s="54">
        <v>10611062</v>
      </c>
      <c r="E368" s="54">
        <f ca="1">IF(ISNUMBER(SEARCH($I$1,F368)),MAX($E$2:E367)+1,0)</f>
        <v>0</v>
      </c>
      <c r="F368" s="56" t="s">
        <v>444</v>
      </c>
      <c r="H368" s="55" t="str">
        <f ca="1">IFERROR(VLOOKUP(ROWS($H$3:H368),E:F,2,0),"")</f>
        <v/>
      </c>
    </row>
    <row r="369" spans="1:8" x14ac:dyDescent="0.25">
      <c r="A369" s="54">
        <v>1061107000</v>
      </c>
      <c r="B369" s="54">
        <v>10611070</v>
      </c>
      <c r="C369" s="54">
        <f>RIGHT(Table1[[#This Row],[UACS]],2)*1</f>
        <v>0</v>
      </c>
      <c r="D369" s="54">
        <v>10611070</v>
      </c>
      <c r="E369" s="54">
        <f ca="1">IF(ISNUMBER(SEARCH($I$1,F369)),MAX($E$2:E368)+1,0)</f>
        <v>0</v>
      </c>
      <c r="F369" s="56" t="s">
        <v>445</v>
      </c>
      <c r="H369" s="55" t="str">
        <f ca="1">IFERROR(VLOOKUP(ROWS($H$3:H369),E:F,2,0),"")</f>
        <v/>
      </c>
    </row>
    <row r="370" spans="1:8" x14ac:dyDescent="0.25">
      <c r="A370" s="54">
        <v>1061107100</v>
      </c>
      <c r="B370" s="54">
        <v>10611071</v>
      </c>
      <c r="C370" s="54">
        <f>RIGHT(Table1[[#This Row],[UACS]],2)*1</f>
        <v>0</v>
      </c>
      <c r="D370" s="54">
        <v>10611071</v>
      </c>
      <c r="E370" s="54">
        <f ca="1">IF(ISNUMBER(SEARCH($I$1,F370)),MAX($E$2:E369)+1,0)</f>
        <v>0</v>
      </c>
      <c r="F370" s="56" t="s">
        <v>446</v>
      </c>
      <c r="H370" s="55" t="str">
        <f ca="1">IFERROR(VLOOKUP(ROWS($H$3:H370),E:F,2,0),"")</f>
        <v/>
      </c>
    </row>
    <row r="371" spans="1:8" x14ac:dyDescent="0.25">
      <c r="A371" s="54">
        <v>1061107200</v>
      </c>
      <c r="B371" s="54">
        <v>10611072</v>
      </c>
      <c r="C371" s="54">
        <f>RIGHT(Table1[[#This Row],[UACS]],2)*1</f>
        <v>0</v>
      </c>
      <c r="D371" s="54">
        <v>10611072</v>
      </c>
      <c r="E371" s="54">
        <f ca="1">IF(ISNUMBER(SEARCH($I$1,F371)),MAX($E$2:E370)+1,0)</f>
        <v>0</v>
      </c>
      <c r="F371" s="56" t="s">
        <v>447</v>
      </c>
      <c r="H371" s="55" t="str">
        <f ca="1">IFERROR(VLOOKUP(ROWS($H$3:H371),E:F,2,0),"")</f>
        <v/>
      </c>
    </row>
    <row r="372" spans="1:8" x14ac:dyDescent="0.25">
      <c r="A372" s="54">
        <v>1061108000</v>
      </c>
      <c r="B372" s="54">
        <v>10611080</v>
      </c>
      <c r="C372" s="54">
        <f>RIGHT(Table1[[#This Row],[UACS]],2)*1</f>
        <v>0</v>
      </c>
      <c r="D372" s="54">
        <v>10611080</v>
      </c>
      <c r="E372" s="54">
        <f ca="1">IF(ISNUMBER(SEARCH($I$1,F372)),MAX($E$2:E371)+1,0)</f>
        <v>0</v>
      </c>
      <c r="F372" s="56" t="s">
        <v>448</v>
      </c>
      <c r="H372" s="55" t="str">
        <f ca="1">IFERROR(VLOOKUP(ROWS($H$3:H372),E:F,2,0),"")</f>
        <v/>
      </c>
    </row>
    <row r="373" spans="1:8" x14ac:dyDescent="0.25">
      <c r="A373" s="54">
        <v>1061108100</v>
      </c>
      <c r="B373" s="54">
        <v>10611081</v>
      </c>
      <c r="C373" s="54">
        <f>RIGHT(Table1[[#This Row],[UACS]],2)*1</f>
        <v>0</v>
      </c>
      <c r="D373" s="54">
        <v>10611081</v>
      </c>
      <c r="E373" s="54">
        <f ca="1">IF(ISNUMBER(SEARCH($I$1,F373)),MAX($E$2:E372)+1,0)</f>
        <v>0</v>
      </c>
      <c r="F373" s="56" t="s">
        <v>449</v>
      </c>
      <c r="H373" s="55" t="str">
        <f ca="1">IFERROR(VLOOKUP(ROWS($H$3:H373),E:F,2,0),"")</f>
        <v/>
      </c>
    </row>
    <row r="374" spans="1:8" x14ac:dyDescent="0.25">
      <c r="A374" s="54">
        <v>1061108200</v>
      </c>
      <c r="B374" s="54">
        <v>10611082</v>
      </c>
      <c r="C374" s="54">
        <f>RIGHT(Table1[[#This Row],[UACS]],2)*1</f>
        <v>0</v>
      </c>
      <c r="D374" s="54">
        <v>10611082</v>
      </c>
      <c r="E374" s="54">
        <f ca="1">IF(ISNUMBER(SEARCH($I$1,F374)),MAX($E$2:E373)+1,0)</f>
        <v>0</v>
      </c>
      <c r="F374" s="56" t="s">
        <v>450</v>
      </c>
      <c r="H374" s="55" t="str">
        <f ca="1">IFERROR(VLOOKUP(ROWS($H$3:H374),E:F,2,0),"")</f>
        <v/>
      </c>
    </row>
    <row r="375" spans="1:8" x14ac:dyDescent="0.25">
      <c r="A375" s="54">
        <v>1061109000</v>
      </c>
      <c r="B375" s="54">
        <v>10611090</v>
      </c>
      <c r="C375" s="54">
        <f>RIGHT(Table1[[#This Row],[UACS]],2)*1</f>
        <v>0</v>
      </c>
      <c r="D375" s="54">
        <v>10611090</v>
      </c>
      <c r="E375" s="54">
        <f ca="1">IF(ISNUMBER(SEARCH($I$1,F375)),MAX($E$2:E374)+1,0)</f>
        <v>0</v>
      </c>
      <c r="F375" s="56" t="s">
        <v>451</v>
      </c>
      <c r="H375" s="55" t="str">
        <f ca="1">IFERROR(VLOOKUP(ROWS($H$3:H375),E:F,2,0),"")</f>
        <v/>
      </c>
    </row>
    <row r="376" spans="1:8" x14ac:dyDescent="0.25">
      <c r="A376" s="54">
        <v>1061109100</v>
      </c>
      <c r="B376" s="54">
        <v>10611091</v>
      </c>
      <c r="C376" s="54">
        <f>RIGHT(Table1[[#This Row],[UACS]],2)*1</f>
        <v>0</v>
      </c>
      <c r="D376" s="54">
        <v>10611091</v>
      </c>
      <c r="E376" s="54">
        <f ca="1">IF(ISNUMBER(SEARCH($I$1,F376)),MAX($E$2:E375)+1,0)</f>
        <v>0</v>
      </c>
      <c r="F376" s="56" t="s">
        <v>452</v>
      </c>
      <c r="H376" s="55" t="str">
        <f ca="1">IFERROR(VLOOKUP(ROWS($H$3:H376),E:F,2,0),"")</f>
        <v/>
      </c>
    </row>
    <row r="377" spans="1:8" x14ac:dyDescent="0.25">
      <c r="A377" s="54">
        <v>1061109200</v>
      </c>
      <c r="B377" s="54">
        <v>10611092</v>
      </c>
      <c r="C377" s="54">
        <f>RIGHT(Table1[[#This Row],[UACS]],2)*1</f>
        <v>0</v>
      </c>
      <c r="D377" s="54">
        <v>10611092</v>
      </c>
      <c r="E377" s="54">
        <f ca="1">IF(ISNUMBER(SEARCH($I$1,F377)),MAX($E$2:E376)+1,0)</f>
        <v>0</v>
      </c>
      <c r="F377" s="56" t="s">
        <v>453</v>
      </c>
      <c r="H377" s="55" t="str">
        <f ca="1">IFERROR(VLOOKUP(ROWS($H$3:H377),E:F,2,0),"")</f>
        <v/>
      </c>
    </row>
    <row r="378" spans="1:8" x14ac:dyDescent="0.25">
      <c r="A378" s="54">
        <v>1061111000</v>
      </c>
      <c r="B378" s="54">
        <v>10611110</v>
      </c>
      <c r="C378" s="54">
        <f>RIGHT(Table1[[#This Row],[UACS]],2)*1</f>
        <v>0</v>
      </c>
      <c r="D378" s="54">
        <v>10611110</v>
      </c>
      <c r="E378" s="54">
        <f ca="1">IF(ISNUMBER(SEARCH($I$1,F378)),MAX($E$2:E377)+1,0)</f>
        <v>0</v>
      </c>
      <c r="F378" s="56" t="s">
        <v>454</v>
      </c>
      <c r="H378" s="55" t="str">
        <f ca="1">IFERROR(VLOOKUP(ROWS($H$3:H378),E:F,2,0),"")</f>
        <v/>
      </c>
    </row>
    <row r="379" spans="1:8" x14ac:dyDescent="0.25">
      <c r="A379" s="54">
        <v>1061111100</v>
      </c>
      <c r="B379" s="54">
        <v>10611111</v>
      </c>
      <c r="C379" s="54">
        <f>RIGHT(Table1[[#This Row],[UACS]],2)*1</f>
        <v>0</v>
      </c>
      <c r="D379" s="54">
        <v>10611111</v>
      </c>
      <c r="E379" s="54">
        <f ca="1">IF(ISNUMBER(SEARCH($I$1,F379)),MAX($E$2:E378)+1,0)</f>
        <v>0</v>
      </c>
      <c r="F379" s="56" t="s">
        <v>455</v>
      </c>
      <c r="H379" s="55" t="str">
        <f ca="1">IFERROR(VLOOKUP(ROWS($H$3:H379),E:F,2,0),"")</f>
        <v/>
      </c>
    </row>
    <row r="380" spans="1:8" x14ac:dyDescent="0.25">
      <c r="A380" s="54">
        <v>1061111200</v>
      </c>
      <c r="B380" s="54">
        <v>10611112</v>
      </c>
      <c r="C380" s="54">
        <f>RIGHT(Table1[[#This Row],[UACS]],2)*1</f>
        <v>0</v>
      </c>
      <c r="D380" s="54">
        <v>10611112</v>
      </c>
      <c r="E380" s="54">
        <f ca="1">IF(ISNUMBER(SEARCH($I$1,F380)),MAX($E$2:E379)+1,0)</f>
        <v>0</v>
      </c>
      <c r="F380" s="56" t="s">
        <v>456</v>
      </c>
      <c r="H380" s="55" t="str">
        <f ca="1">IFERROR(VLOOKUP(ROWS($H$3:H380),E:F,2,0),"")</f>
        <v/>
      </c>
    </row>
    <row r="381" spans="1:8" x14ac:dyDescent="0.25">
      <c r="A381" s="54">
        <v>1061112000</v>
      </c>
      <c r="B381" s="54">
        <v>10611120</v>
      </c>
      <c r="C381" s="54">
        <f>RIGHT(Table1[[#This Row],[UACS]],2)*1</f>
        <v>0</v>
      </c>
      <c r="D381" s="54">
        <v>10611120</v>
      </c>
      <c r="E381" s="54">
        <f ca="1">IF(ISNUMBER(SEARCH($I$1,F381)),MAX($E$2:E380)+1,0)</f>
        <v>0</v>
      </c>
      <c r="F381" s="56" t="s">
        <v>457</v>
      </c>
      <c r="H381" s="55" t="str">
        <f ca="1">IFERROR(VLOOKUP(ROWS($H$3:H381),E:F,2,0),"")</f>
        <v/>
      </c>
    </row>
    <row r="382" spans="1:8" x14ac:dyDescent="0.25">
      <c r="A382" s="54">
        <v>1061112100</v>
      </c>
      <c r="B382" s="54">
        <v>10611121</v>
      </c>
      <c r="C382" s="54">
        <f>RIGHT(Table1[[#This Row],[UACS]],2)*1</f>
        <v>0</v>
      </c>
      <c r="D382" s="54">
        <v>10611121</v>
      </c>
      <c r="E382" s="54">
        <f ca="1">IF(ISNUMBER(SEARCH($I$1,F382)),MAX($E$2:E381)+1,0)</f>
        <v>0</v>
      </c>
      <c r="F382" s="56" t="s">
        <v>458</v>
      </c>
      <c r="H382" s="55" t="str">
        <f ca="1">IFERROR(VLOOKUP(ROWS($H$3:H382),E:F,2,0),"")</f>
        <v/>
      </c>
    </row>
    <row r="383" spans="1:8" x14ac:dyDescent="0.25">
      <c r="A383" s="54">
        <v>1061112200</v>
      </c>
      <c r="B383" s="54">
        <v>10611122</v>
      </c>
      <c r="C383" s="54">
        <f>RIGHT(Table1[[#This Row],[UACS]],2)*1</f>
        <v>0</v>
      </c>
      <c r="D383" s="54">
        <v>10611122</v>
      </c>
      <c r="E383" s="54">
        <f ca="1">IF(ISNUMBER(SEARCH($I$1,F383)),MAX($E$2:E382)+1,0)</f>
        <v>0</v>
      </c>
      <c r="F383" s="56" t="s">
        <v>459</v>
      </c>
      <c r="H383" s="55" t="str">
        <f ca="1">IFERROR(VLOOKUP(ROWS($H$3:H383),E:F,2,0),"")</f>
        <v/>
      </c>
    </row>
    <row r="384" spans="1:8" x14ac:dyDescent="0.25">
      <c r="A384" s="54">
        <v>1061199000</v>
      </c>
      <c r="B384" s="54">
        <v>10611990</v>
      </c>
      <c r="C384" s="54">
        <f>RIGHT(Table1[[#This Row],[UACS]],2)*1</f>
        <v>0</v>
      </c>
      <c r="D384" s="54">
        <v>10611990</v>
      </c>
      <c r="E384" s="54">
        <f ca="1">IF(ISNUMBER(SEARCH($I$1,F384)),MAX($E$2:E383)+1,0)</f>
        <v>0</v>
      </c>
      <c r="F384" s="56" t="s">
        <v>460</v>
      </c>
      <c r="H384" s="55" t="str">
        <f ca="1">IFERROR(VLOOKUP(ROWS($H$3:H384),E:F,2,0),"")</f>
        <v/>
      </c>
    </row>
    <row r="385" spans="1:8" x14ac:dyDescent="0.25">
      <c r="A385" s="54">
        <v>1061199100</v>
      </c>
      <c r="B385" s="54">
        <v>10611991</v>
      </c>
      <c r="C385" s="54">
        <f>RIGHT(Table1[[#This Row],[UACS]],2)*1</f>
        <v>0</v>
      </c>
      <c r="D385" s="54">
        <v>10611991</v>
      </c>
      <c r="E385" s="54">
        <f ca="1">IF(ISNUMBER(SEARCH($I$1,F385)),MAX($E$2:E384)+1,0)</f>
        <v>0</v>
      </c>
      <c r="F385" s="56" t="s">
        <v>461</v>
      </c>
      <c r="H385" s="55" t="str">
        <f ca="1">IFERROR(VLOOKUP(ROWS($H$3:H385),E:F,2,0),"")</f>
        <v/>
      </c>
    </row>
    <row r="386" spans="1:8" x14ac:dyDescent="0.25">
      <c r="A386" s="54">
        <v>1061199200</v>
      </c>
      <c r="B386" s="54">
        <v>10611992</v>
      </c>
      <c r="C386" s="54">
        <f>RIGHT(Table1[[#This Row],[UACS]],2)*1</f>
        <v>0</v>
      </c>
      <c r="D386" s="54">
        <v>10611992</v>
      </c>
      <c r="E386" s="54">
        <f ca="1">IF(ISNUMBER(SEARCH($I$1,F386)),MAX($E$2:E385)+1,0)</f>
        <v>0</v>
      </c>
      <c r="F386" s="56" t="s">
        <v>462</v>
      </c>
      <c r="H386" s="55" t="str">
        <f ca="1">IFERROR(VLOOKUP(ROWS($H$3:H386),E:F,2,0),"")</f>
        <v/>
      </c>
    </row>
    <row r="387" spans="1:8" x14ac:dyDescent="0.25">
      <c r="A387" s="54">
        <v>1069801000</v>
      </c>
      <c r="B387" s="54">
        <v>10698010</v>
      </c>
      <c r="C387" s="54">
        <f>RIGHT(Table1[[#This Row],[UACS]],2)*1</f>
        <v>0</v>
      </c>
      <c r="D387" s="54">
        <v>10698010</v>
      </c>
      <c r="E387" s="54">
        <f ca="1">IF(ISNUMBER(SEARCH($I$1,F387)),MAX($E$2:E386)+1,0)</f>
        <v>0</v>
      </c>
      <c r="F387" s="56" t="s">
        <v>463</v>
      </c>
      <c r="H387" s="55" t="str">
        <f ca="1">IFERROR(VLOOKUP(ROWS($H$3:H387),E:F,2,0),"")</f>
        <v/>
      </c>
    </row>
    <row r="388" spans="1:8" x14ac:dyDescent="0.25">
      <c r="A388" s="54">
        <v>1069801100</v>
      </c>
      <c r="B388" s="54">
        <v>10698011</v>
      </c>
      <c r="C388" s="54">
        <f>RIGHT(Table1[[#This Row],[UACS]],2)*1</f>
        <v>0</v>
      </c>
      <c r="D388" s="54">
        <v>10698011</v>
      </c>
      <c r="E388" s="54">
        <f ca="1">IF(ISNUMBER(SEARCH($I$1,F388)),MAX($E$2:E387)+1,0)</f>
        <v>0</v>
      </c>
      <c r="F388" s="56" t="s">
        <v>464</v>
      </c>
      <c r="H388" s="55" t="str">
        <f ca="1">IFERROR(VLOOKUP(ROWS($H$3:H388),E:F,2,0),"")</f>
        <v/>
      </c>
    </row>
    <row r="389" spans="1:8" x14ac:dyDescent="0.25">
      <c r="A389" s="54">
        <v>1069801200</v>
      </c>
      <c r="B389" s="54">
        <v>10698012</v>
      </c>
      <c r="C389" s="54">
        <f>RIGHT(Table1[[#This Row],[UACS]],2)*1</f>
        <v>0</v>
      </c>
      <c r="D389" s="54">
        <v>10698012</v>
      </c>
      <c r="E389" s="54">
        <f ca="1">IF(ISNUMBER(SEARCH($I$1,F389)),MAX($E$2:E388)+1,0)</f>
        <v>0</v>
      </c>
      <c r="F389" s="56" t="s">
        <v>465</v>
      </c>
      <c r="H389" s="55" t="str">
        <f ca="1">IFERROR(VLOOKUP(ROWS($H$3:H389),E:F,2,0),"")</f>
        <v/>
      </c>
    </row>
    <row r="390" spans="1:8" x14ac:dyDescent="0.25">
      <c r="A390" s="54">
        <v>1069899000</v>
      </c>
      <c r="B390" s="54">
        <v>10698990</v>
      </c>
      <c r="C390" s="54">
        <f>RIGHT(Table1[[#This Row],[UACS]],2)*1</f>
        <v>0</v>
      </c>
      <c r="D390" s="54">
        <v>10698990</v>
      </c>
      <c r="E390" s="54">
        <f ca="1">IF(ISNUMBER(SEARCH($I$1,F390)),MAX($E$2:E389)+1,0)</f>
        <v>0</v>
      </c>
      <c r="F390" s="56" t="s">
        <v>466</v>
      </c>
      <c r="H390" s="55" t="str">
        <f ca="1">IFERROR(VLOOKUP(ROWS($H$3:H390),E:F,2,0),"")</f>
        <v/>
      </c>
    </row>
    <row r="391" spans="1:8" x14ac:dyDescent="0.25">
      <c r="A391" s="54">
        <v>1069899100</v>
      </c>
      <c r="B391" s="54">
        <v>10698991</v>
      </c>
      <c r="C391" s="54">
        <f>RIGHT(Table1[[#This Row],[UACS]],2)*1</f>
        <v>0</v>
      </c>
      <c r="D391" s="54">
        <v>10698991</v>
      </c>
      <c r="E391" s="54">
        <f ca="1">IF(ISNUMBER(SEARCH($I$1,F391)),MAX($E$2:E390)+1,0)</f>
        <v>0</v>
      </c>
      <c r="F391" s="56" t="s">
        <v>467</v>
      </c>
      <c r="H391" s="55" t="str">
        <f ca="1">IFERROR(VLOOKUP(ROWS($H$3:H391),E:F,2,0),"")</f>
        <v/>
      </c>
    </row>
    <row r="392" spans="1:8" x14ac:dyDescent="0.25">
      <c r="A392" s="54">
        <v>1069899200</v>
      </c>
      <c r="B392" s="54">
        <v>10698992</v>
      </c>
      <c r="C392" s="54">
        <f>RIGHT(Table1[[#This Row],[UACS]],2)*1</f>
        <v>0</v>
      </c>
      <c r="D392" s="54">
        <v>10698992</v>
      </c>
      <c r="E392" s="54">
        <f ca="1">IF(ISNUMBER(SEARCH($I$1,F392)),MAX($E$2:E391)+1,0)</f>
        <v>0</v>
      </c>
      <c r="F392" s="56" t="s">
        <v>468</v>
      </c>
      <c r="H392" s="55" t="str">
        <f ca="1">IFERROR(VLOOKUP(ROWS($H$3:H392),E:F,2,0),"")</f>
        <v/>
      </c>
    </row>
    <row r="393" spans="1:8" x14ac:dyDescent="0.25">
      <c r="A393" s="54">
        <v>1069901000</v>
      </c>
      <c r="B393" s="54">
        <v>10699010</v>
      </c>
      <c r="C393" s="54">
        <f>RIGHT(Table1[[#This Row],[UACS]],2)*1</f>
        <v>0</v>
      </c>
      <c r="D393" s="54">
        <v>10699010</v>
      </c>
      <c r="E393" s="54">
        <f ca="1">IF(ISNUMBER(SEARCH($I$1,F393)),MAX($E$2:E392)+1,0)</f>
        <v>0</v>
      </c>
      <c r="F393" s="56" t="s">
        <v>469</v>
      </c>
      <c r="H393" s="55" t="str">
        <f ca="1">IFERROR(VLOOKUP(ROWS($H$3:H393),E:F,2,0),"")</f>
        <v/>
      </c>
    </row>
    <row r="394" spans="1:8" x14ac:dyDescent="0.25">
      <c r="A394" s="54">
        <v>1069902000</v>
      </c>
      <c r="B394" s="54">
        <v>10699020</v>
      </c>
      <c r="C394" s="54">
        <f>RIGHT(Table1[[#This Row],[UACS]],2)*1</f>
        <v>0</v>
      </c>
      <c r="D394" s="54">
        <v>10699020</v>
      </c>
      <c r="E394" s="54">
        <f ca="1">IF(ISNUMBER(SEARCH($I$1,F394)),MAX($E$2:E393)+1,0)</f>
        <v>0</v>
      </c>
      <c r="F394" s="56" t="s">
        <v>470</v>
      </c>
      <c r="H394" s="55" t="str">
        <f ca="1">IFERROR(VLOOKUP(ROWS($H$3:H394),E:F,2,0),"")</f>
        <v/>
      </c>
    </row>
    <row r="395" spans="1:8" x14ac:dyDescent="0.25">
      <c r="A395" s="54">
        <v>1069903000</v>
      </c>
      <c r="B395" s="54">
        <v>10699030</v>
      </c>
      <c r="C395" s="54">
        <f>RIGHT(Table1[[#This Row],[UACS]],2)*1</f>
        <v>0</v>
      </c>
      <c r="D395" s="54">
        <v>10699030</v>
      </c>
      <c r="E395" s="54">
        <f ca="1">IF(ISNUMBER(SEARCH($I$1,F395)),MAX($E$2:E394)+1,0)</f>
        <v>0</v>
      </c>
      <c r="F395" s="56" t="s">
        <v>471</v>
      </c>
      <c r="H395" s="55" t="str">
        <f ca="1">IFERROR(VLOOKUP(ROWS($H$3:H395),E:F,2,0),"")</f>
        <v/>
      </c>
    </row>
    <row r="396" spans="1:8" x14ac:dyDescent="0.25">
      <c r="A396" s="54">
        <v>1069904000</v>
      </c>
      <c r="B396" s="54">
        <v>10699040</v>
      </c>
      <c r="C396" s="54">
        <f>RIGHT(Table1[[#This Row],[UACS]],2)*1</f>
        <v>0</v>
      </c>
      <c r="D396" s="54">
        <v>10699040</v>
      </c>
      <c r="E396" s="54">
        <f ca="1">IF(ISNUMBER(SEARCH($I$1,F396)),MAX($E$2:E395)+1,0)</f>
        <v>0</v>
      </c>
      <c r="F396" s="56" t="s">
        <v>472</v>
      </c>
      <c r="H396" s="55" t="str">
        <f ca="1">IFERROR(VLOOKUP(ROWS($H$3:H396),E:F,2,0),"")</f>
        <v/>
      </c>
    </row>
    <row r="397" spans="1:8" x14ac:dyDescent="0.25">
      <c r="A397" s="54">
        <v>1069905000</v>
      </c>
      <c r="B397" s="54">
        <v>10699050</v>
      </c>
      <c r="C397" s="54">
        <f>RIGHT(Table1[[#This Row],[UACS]],2)*1</f>
        <v>0</v>
      </c>
      <c r="D397" s="54">
        <v>10699050</v>
      </c>
      <c r="E397" s="54">
        <f ca="1">IF(ISNUMBER(SEARCH($I$1,F397)),MAX($E$2:E396)+1,0)</f>
        <v>0</v>
      </c>
      <c r="F397" s="56" t="s">
        <v>473</v>
      </c>
      <c r="H397" s="55" t="str">
        <f ca="1">IFERROR(VLOOKUP(ROWS($H$3:H397),E:F,2,0),"")</f>
        <v/>
      </c>
    </row>
    <row r="398" spans="1:8" x14ac:dyDescent="0.25">
      <c r="A398" s="54">
        <v>1070101000</v>
      </c>
      <c r="B398" s="54">
        <v>10701010</v>
      </c>
      <c r="C398" s="54">
        <f>RIGHT(Table1[[#This Row],[UACS]],2)*1</f>
        <v>0</v>
      </c>
      <c r="D398" s="54">
        <v>10701010</v>
      </c>
      <c r="E398" s="54">
        <f ca="1">IF(ISNUMBER(SEARCH($I$1,F398)),MAX($E$2:E397)+1,0)</f>
        <v>0</v>
      </c>
      <c r="F398" s="56" t="s">
        <v>474</v>
      </c>
      <c r="H398" s="55" t="str">
        <f ca="1">IFERROR(VLOOKUP(ROWS($H$3:H398),E:F,2,0),"")</f>
        <v/>
      </c>
    </row>
    <row r="399" spans="1:8" x14ac:dyDescent="0.25">
      <c r="A399" s="54">
        <v>1070101100</v>
      </c>
      <c r="B399" s="54">
        <v>10701011</v>
      </c>
      <c r="C399" s="54">
        <f>RIGHT(Table1[[#This Row],[UACS]],2)*1</f>
        <v>0</v>
      </c>
      <c r="D399" s="54">
        <v>10701011</v>
      </c>
      <c r="E399" s="54">
        <f ca="1">IF(ISNUMBER(SEARCH($I$1,F399)),MAX($E$2:E398)+1,0)</f>
        <v>0</v>
      </c>
      <c r="F399" s="56" t="s">
        <v>475</v>
      </c>
      <c r="H399" s="55" t="str">
        <f ca="1">IFERROR(VLOOKUP(ROWS($H$3:H399),E:F,2,0),"")</f>
        <v/>
      </c>
    </row>
    <row r="400" spans="1:8" x14ac:dyDescent="0.25">
      <c r="A400" s="54">
        <v>1070102000</v>
      </c>
      <c r="B400" s="54">
        <v>10701020</v>
      </c>
      <c r="C400" s="54">
        <f>RIGHT(Table1[[#This Row],[UACS]],2)*1</f>
        <v>0</v>
      </c>
      <c r="D400" s="54">
        <v>10701020</v>
      </c>
      <c r="E400" s="54">
        <f ca="1">IF(ISNUMBER(SEARCH($I$1,F400)),MAX($E$2:E399)+1,0)</f>
        <v>0</v>
      </c>
      <c r="F400" s="56" t="s">
        <v>476</v>
      </c>
      <c r="H400" s="55" t="str">
        <f ca="1">IFERROR(VLOOKUP(ROWS($H$3:H400),E:F,2,0),"")</f>
        <v/>
      </c>
    </row>
    <row r="401" spans="1:8" x14ac:dyDescent="0.25">
      <c r="A401" s="54">
        <v>1070102100</v>
      </c>
      <c r="B401" s="54">
        <v>10701021</v>
      </c>
      <c r="C401" s="54">
        <f>RIGHT(Table1[[#This Row],[UACS]],2)*1</f>
        <v>0</v>
      </c>
      <c r="D401" s="54">
        <v>10701021</v>
      </c>
      <c r="E401" s="54">
        <f ca="1">IF(ISNUMBER(SEARCH($I$1,F401)),MAX($E$2:E400)+1,0)</f>
        <v>0</v>
      </c>
      <c r="F401" s="56" t="s">
        <v>477</v>
      </c>
      <c r="H401" s="55" t="str">
        <f ca="1">IFERROR(VLOOKUP(ROWS($H$3:H401),E:F,2,0),"")</f>
        <v/>
      </c>
    </row>
    <row r="402" spans="1:8" x14ac:dyDescent="0.25">
      <c r="A402" s="54">
        <v>1070103000</v>
      </c>
      <c r="B402" s="54">
        <v>10701030</v>
      </c>
      <c r="C402" s="54">
        <f>RIGHT(Table1[[#This Row],[UACS]],2)*1</f>
        <v>0</v>
      </c>
      <c r="D402" s="54">
        <v>10701030</v>
      </c>
      <c r="E402" s="54">
        <f ca="1">IF(ISNUMBER(SEARCH($I$1,F402)),MAX($E$2:E401)+1,0)</f>
        <v>0</v>
      </c>
      <c r="F402" s="56" t="s">
        <v>478</v>
      </c>
      <c r="H402" s="55" t="str">
        <f ca="1">IFERROR(VLOOKUP(ROWS($H$3:H402),E:F,2,0),"")</f>
        <v/>
      </c>
    </row>
    <row r="403" spans="1:8" x14ac:dyDescent="0.25">
      <c r="A403" s="54">
        <v>1070103100</v>
      </c>
      <c r="B403" s="54">
        <v>10701031</v>
      </c>
      <c r="C403" s="54">
        <f>RIGHT(Table1[[#This Row],[UACS]],2)*1</f>
        <v>0</v>
      </c>
      <c r="D403" s="54">
        <v>10701031</v>
      </c>
      <c r="E403" s="54">
        <f ca="1">IF(ISNUMBER(SEARCH($I$1,F403)),MAX($E$2:E402)+1,0)</f>
        <v>0</v>
      </c>
      <c r="F403" s="56" t="s">
        <v>479</v>
      </c>
      <c r="H403" s="55" t="str">
        <f ca="1">IFERROR(VLOOKUP(ROWS($H$3:H403),E:F,2,0),"")</f>
        <v/>
      </c>
    </row>
    <row r="404" spans="1:8" x14ac:dyDescent="0.25">
      <c r="A404" s="54">
        <v>1070104000</v>
      </c>
      <c r="B404" s="54">
        <v>10701040</v>
      </c>
      <c r="C404" s="54">
        <f>RIGHT(Table1[[#This Row],[UACS]],2)*1</f>
        <v>0</v>
      </c>
      <c r="D404" s="54">
        <v>10701040</v>
      </c>
      <c r="E404" s="54">
        <f ca="1">IF(ISNUMBER(SEARCH($I$1,F404)),MAX($E$2:E403)+1,0)</f>
        <v>0</v>
      </c>
      <c r="F404" s="56" t="s">
        <v>480</v>
      </c>
      <c r="H404" s="55" t="str">
        <f ca="1">IFERROR(VLOOKUP(ROWS($H$3:H404),E:F,2,0),"")</f>
        <v/>
      </c>
    </row>
    <row r="405" spans="1:8" x14ac:dyDescent="0.25">
      <c r="A405" s="54">
        <v>1070104100</v>
      </c>
      <c r="B405" s="54">
        <v>10701041</v>
      </c>
      <c r="C405" s="54">
        <f>RIGHT(Table1[[#This Row],[UACS]],2)*1</f>
        <v>0</v>
      </c>
      <c r="D405" s="54">
        <v>10701041</v>
      </c>
      <c r="E405" s="54">
        <f ca="1">IF(ISNUMBER(SEARCH($I$1,F405)),MAX($E$2:E404)+1,0)</f>
        <v>0</v>
      </c>
      <c r="F405" s="56" t="s">
        <v>481</v>
      </c>
      <c r="H405" s="55" t="str">
        <f ca="1">IFERROR(VLOOKUP(ROWS($H$3:H405),E:F,2,0),"")</f>
        <v/>
      </c>
    </row>
    <row r="406" spans="1:8" x14ac:dyDescent="0.25">
      <c r="A406" s="54">
        <v>1070199000</v>
      </c>
      <c r="B406" s="54">
        <v>10701990</v>
      </c>
      <c r="C406" s="54">
        <f>RIGHT(Table1[[#This Row],[UACS]],2)*1</f>
        <v>0</v>
      </c>
      <c r="D406" s="54">
        <v>10701990</v>
      </c>
      <c r="E406" s="54">
        <f ca="1">IF(ISNUMBER(SEARCH($I$1,F406)),MAX($E$2:E405)+1,0)</f>
        <v>0</v>
      </c>
      <c r="F406" s="56" t="s">
        <v>482</v>
      </c>
      <c r="H406" s="55" t="str">
        <f ca="1">IFERROR(VLOOKUP(ROWS($H$3:H406),E:F,2,0),"")</f>
        <v/>
      </c>
    </row>
    <row r="407" spans="1:8" x14ac:dyDescent="0.25">
      <c r="A407" s="54">
        <v>1070199100</v>
      </c>
      <c r="B407" s="54">
        <v>10701991</v>
      </c>
      <c r="C407" s="54">
        <f>RIGHT(Table1[[#This Row],[UACS]],2)*1</f>
        <v>0</v>
      </c>
      <c r="D407" s="54">
        <v>10701991</v>
      </c>
      <c r="E407" s="54">
        <f ca="1">IF(ISNUMBER(SEARCH($I$1,F407)),MAX($E$2:E406)+1,0)</f>
        <v>0</v>
      </c>
      <c r="F407" s="56" t="s">
        <v>483</v>
      </c>
      <c r="H407" s="55" t="str">
        <f ca="1">IFERROR(VLOOKUP(ROWS($H$3:H407),E:F,2,0),"")</f>
        <v/>
      </c>
    </row>
    <row r="408" spans="1:8" x14ac:dyDescent="0.25">
      <c r="A408" s="54">
        <v>1070201000</v>
      </c>
      <c r="B408" s="54">
        <v>10702010</v>
      </c>
      <c r="C408" s="54">
        <f>RIGHT(Table1[[#This Row],[UACS]],2)*1</f>
        <v>0</v>
      </c>
      <c r="D408" s="54">
        <v>10702010</v>
      </c>
      <c r="E408" s="54">
        <f ca="1">IF(ISNUMBER(SEARCH($I$1,F408)),MAX($E$2:E407)+1,0)</f>
        <v>0</v>
      </c>
      <c r="F408" s="56" t="s">
        <v>484</v>
      </c>
      <c r="H408" s="55" t="str">
        <f ca="1">IFERROR(VLOOKUP(ROWS($H$3:H408),E:F,2,0),"")</f>
        <v/>
      </c>
    </row>
    <row r="409" spans="1:8" x14ac:dyDescent="0.25">
      <c r="A409" s="54">
        <v>1070201100</v>
      </c>
      <c r="B409" s="54">
        <v>10702011</v>
      </c>
      <c r="C409" s="54">
        <f>RIGHT(Table1[[#This Row],[UACS]],2)*1</f>
        <v>0</v>
      </c>
      <c r="D409" s="54">
        <v>10702011</v>
      </c>
      <c r="E409" s="54">
        <f ca="1">IF(ISNUMBER(SEARCH($I$1,F409)),MAX($E$2:E408)+1,0)</f>
        <v>0</v>
      </c>
      <c r="F409" s="56" t="s">
        <v>485</v>
      </c>
      <c r="H409" s="55" t="str">
        <f ca="1">IFERROR(VLOOKUP(ROWS($H$3:H409),E:F,2,0),"")</f>
        <v/>
      </c>
    </row>
    <row r="410" spans="1:8" x14ac:dyDescent="0.25">
      <c r="A410" s="54">
        <v>1070202000</v>
      </c>
      <c r="B410" s="54">
        <v>10702020</v>
      </c>
      <c r="C410" s="54">
        <f>RIGHT(Table1[[#This Row],[UACS]],2)*1</f>
        <v>0</v>
      </c>
      <c r="D410" s="54">
        <v>10702020</v>
      </c>
      <c r="E410" s="54">
        <f ca="1">IF(ISNUMBER(SEARCH($I$1,F410)),MAX($E$2:E409)+1,0)</f>
        <v>0</v>
      </c>
      <c r="F410" s="56" t="s">
        <v>486</v>
      </c>
      <c r="H410" s="55" t="str">
        <f ca="1">IFERROR(VLOOKUP(ROWS($H$3:H410),E:F,2,0),"")</f>
        <v/>
      </c>
    </row>
    <row r="411" spans="1:8" x14ac:dyDescent="0.25">
      <c r="A411" s="54">
        <v>1070202100</v>
      </c>
      <c r="B411" s="54">
        <v>10702021</v>
      </c>
      <c r="C411" s="54">
        <f>RIGHT(Table1[[#This Row],[UACS]],2)*1</f>
        <v>0</v>
      </c>
      <c r="D411" s="54">
        <v>10702021</v>
      </c>
      <c r="E411" s="54">
        <f ca="1">IF(ISNUMBER(SEARCH($I$1,F411)),MAX($E$2:E410)+1,0)</f>
        <v>0</v>
      </c>
      <c r="F411" s="56" t="s">
        <v>487</v>
      </c>
      <c r="H411" s="55" t="str">
        <f ca="1">IFERROR(VLOOKUP(ROWS($H$3:H411),E:F,2,0),"")</f>
        <v/>
      </c>
    </row>
    <row r="412" spans="1:8" x14ac:dyDescent="0.25">
      <c r="A412" s="54">
        <v>1070203000</v>
      </c>
      <c r="B412" s="54">
        <v>10702030</v>
      </c>
      <c r="C412" s="54">
        <f>RIGHT(Table1[[#This Row],[UACS]],2)*1</f>
        <v>0</v>
      </c>
      <c r="D412" s="54">
        <v>10702030</v>
      </c>
      <c r="E412" s="54">
        <f ca="1">IF(ISNUMBER(SEARCH($I$1,F412)),MAX($E$2:E411)+1,0)</f>
        <v>0</v>
      </c>
      <c r="F412" s="56" t="s">
        <v>488</v>
      </c>
      <c r="H412" s="55" t="str">
        <f ca="1">IFERROR(VLOOKUP(ROWS($H$3:H412),E:F,2,0),"")</f>
        <v/>
      </c>
    </row>
    <row r="413" spans="1:8" x14ac:dyDescent="0.25">
      <c r="A413" s="54">
        <v>1070203100</v>
      </c>
      <c r="B413" s="54">
        <v>10702031</v>
      </c>
      <c r="C413" s="54">
        <f>RIGHT(Table1[[#This Row],[UACS]],2)*1</f>
        <v>0</v>
      </c>
      <c r="D413" s="54">
        <v>10702031</v>
      </c>
      <c r="E413" s="54">
        <f ca="1">IF(ISNUMBER(SEARCH($I$1,F413)),MAX($E$2:E412)+1,0)</f>
        <v>0</v>
      </c>
      <c r="F413" s="56" t="s">
        <v>489</v>
      </c>
      <c r="H413" s="55" t="str">
        <f ca="1">IFERROR(VLOOKUP(ROWS($H$3:H413),E:F,2,0),"")</f>
        <v/>
      </c>
    </row>
    <row r="414" spans="1:8" x14ac:dyDescent="0.25">
      <c r="A414" s="54">
        <v>1070204000</v>
      </c>
      <c r="B414" s="54">
        <v>10702040</v>
      </c>
      <c r="C414" s="54">
        <f>RIGHT(Table1[[#This Row],[UACS]],2)*1</f>
        <v>0</v>
      </c>
      <c r="D414" s="54">
        <v>10702040</v>
      </c>
      <c r="E414" s="54">
        <f ca="1">IF(ISNUMBER(SEARCH($I$1,F414)),MAX($E$2:E413)+1,0)</f>
        <v>0</v>
      </c>
      <c r="F414" s="56" t="s">
        <v>490</v>
      </c>
      <c r="H414" s="55" t="str">
        <f ca="1">IFERROR(VLOOKUP(ROWS($H$3:H414),E:F,2,0),"")</f>
        <v/>
      </c>
    </row>
    <row r="415" spans="1:8" x14ac:dyDescent="0.25">
      <c r="A415" s="54">
        <v>1070204100</v>
      </c>
      <c r="B415" s="54">
        <v>10702041</v>
      </c>
      <c r="C415" s="54">
        <f>RIGHT(Table1[[#This Row],[UACS]],2)*1</f>
        <v>0</v>
      </c>
      <c r="D415" s="54">
        <v>10702041</v>
      </c>
      <c r="E415" s="54">
        <f ca="1">IF(ISNUMBER(SEARCH($I$1,F415)),MAX($E$2:E414)+1,0)</f>
        <v>0</v>
      </c>
      <c r="F415" s="56" t="s">
        <v>491</v>
      </c>
      <c r="H415" s="55" t="str">
        <f ca="1">IFERROR(VLOOKUP(ROWS($H$3:H415),E:F,2,0),"")</f>
        <v/>
      </c>
    </row>
    <row r="416" spans="1:8" x14ac:dyDescent="0.25">
      <c r="A416" s="54">
        <v>1070299000</v>
      </c>
      <c r="B416" s="54">
        <v>10702990</v>
      </c>
      <c r="C416" s="54">
        <f>RIGHT(Table1[[#This Row],[UACS]],2)*1</f>
        <v>0</v>
      </c>
      <c r="D416" s="54">
        <v>10702990</v>
      </c>
      <c r="E416" s="54">
        <f ca="1">IF(ISNUMBER(SEARCH($I$1,F416)),MAX($E$2:E415)+1,0)</f>
        <v>0</v>
      </c>
      <c r="F416" s="56" t="s">
        <v>492</v>
      </c>
      <c r="H416" s="55" t="str">
        <f ca="1">IFERROR(VLOOKUP(ROWS($H$3:H416),E:F,2,0),"")</f>
        <v/>
      </c>
    </row>
    <row r="417" spans="1:8" x14ac:dyDescent="0.25">
      <c r="A417" s="54">
        <v>1070299100</v>
      </c>
      <c r="B417" s="54">
        <v>10702991</v>
      </c>
      <c r="C417" s="54">
        <f>RIGHT(Table1[[#This Row],[UACS]],2)*1</f>
        <v>0</v>
      </c>
      <c r="D417" s="54">
        <v>10702991</v>
      </c>
      <c r="E417" s="54">
        <f ca="1">IF(ISNUMBER(SEARCH($I$1,F417)),MAX($E$2:E416)+1,0)</f>
        <v>0</v>
      </c>
      <c r="F417" s="56" t="s">
        <v>493</v>
      </c>
      <c r="H417" s="55" t="str">
        <f ca="1">IFERROR(VLOOKUP(ROWS($H$3:H417),E:F,2,0),"")</f>
        <v/>
      </c>
    </row>
    <row r="418" spans="1:8" x14ac:dyDescent="0.25">
      <c r="A418" s="54">
        <v>1080101000</v>
      </c>
      <c r="B418" s="54">
        <v>10801010</v>
      </c>
      <c r="C418" s="54">
        <f>RIGHT(Table1[[#This Row],[UACS]],2)*1</f>
        <v>0</v>
      </c>
      <c r="D418" s="54">
        <v>10801010</v>
      </c>
      <c r="E418" s="54">
        <f ca="1">IF(ISNUMBER(SEARCH($I$1,F418)),MAX($E$2:E417)+1,0)</f>
        <v>0</v>
      </c>
      <c r="F418" s="56" t="s">
        <v>494</v>
      </c>
      <c r="H418" s="55" t="str">
        <f ca="1">IFERROR(VLOOKUP(ROWS($H$3:H418),E:F,2,0),"")</f>
        <v/>
      </c>
    </row>
    <row r="419" spans="1:8" x14ac:dyDescent="0.25">
      <c r="A419" s="54">
        <v>1080101100</v>
      </c>
      <c r="B419" s="54">
        <v>10801011</v>
      </c>
      <c r="C419" s="54">
        <f>RIGHT(Table1[[#This Row],[UACS]],2)*1</f>
        <v>0</v>
      </c>
      <c r="D419" s="54">
        <v>10801011</v>
      </c>
      <c r="E419" s="54">
        <f ca="1">IF(ISNUMBER(SEARCH($I$1,F419)),MAX($E$2:E418)+1,0)</f>
        <v>0</v>
      </c>
      <c r="F419" s="56" t="s">
        <v>495</v>
      </c>
      <c r="H419" s="55" t="str">
        <f ca="1">IFERROR(VLOOKUP(ROWS($H$3:H419),E:F,2,0),"")</f>
        <v/>
      </c>
    </row>
    <row r="420" spans="1:8" x14ac:dyDescent="0.25">
      <c r="A420" s="54">
        <v>1080101200</v>
      </c>
      <c r="B420" s="54">
        <v>10801012</v>
      </c>
      <c r="C420" s="54">
        <f>RIGHT(Table1[[#This Row],[UACS]],2)*1</f>
        <v>0</v>
      </c>
      <c r="D420" s="54">
        <v>10801012</v>
      </c>
      <c r="E420" s="54">
        <f ca="1">IF(ISNUMBER(SEARCH($I$1,F420)),MAX($E$2:E419)+1,0)</f>
        <v>0</v>
      </c>
      <c r="F420" s="56" t="s">
        <v>496</v>
      </c>
      <c r="H420" s="55" t="str">
        <f ca="1">IFERROR(VLOOKUP(ROWS($H$3:H420),E:F,2,0),"")</f>
        <v/>
      </c>
    </row>
    <row r="421" spans="1:8" x14ac:dyDescent="0.25">
      <c r="A421" s="54">
        <v>1080102000</v>
      </c>
      <c r="B421" s="54">
        <v>10801020</v>
      </c>
      <c r="C421" s="54">
        <f>RIGHT(Table1[[#This Row],[UACS]],2)*1</f>
        <v>0</v>
      </c>
      <c r="D421" s="54">
        <v>10801020</v>
      </c>
      <c r="E421" s="54">
        <f ca="1">IF(ISNUMBER(SEARCH($I$1,F421)),MAX($E$2:E420)+1,0)</f>
        <v>0</v>
      </c>
      <c r="F421" s="56" t="s">
        <v>497</v>
      </c>
      <c r="H421" s="55" t="str">
        <f ca="1">IFERROR(VLOOKUP(ROWS($H$3:H421),E:F,2,0),"")</f>
        <v/>
      </c>
    </row>
    <row r="422" spans="1:8" x14ac:dyDescent="0.25">
      <c r="A422" s="54">
        <v>1080102100</v>
      </c>
      <c r="B422" s="54">
        <v>10801021</v>
      </c>
      <c r="C422" s="54">
        <f>RIGHT(Table1[[#This Row],[UACS]],2)*1</f>
        <v>0</v>
      </c>
      <c r="D422" s="54">
        <v>10801021</v>
      </c>
      <c r="E422" s="54">
        <f ca="1">IF(ISNUMBER(SEARCH($I$1,F422)),MAX($E$2:E421)+1,0)</f>
        <v>0</v>
      </c>
      <c r="F422" s="56" t="s">
        <v>498</v>
      </c>
      <c r="H422" s="55" t="str">
        <f ca="1">IFERROR(VLOOKUP(ROWS($H$3:H422),E:F,2,0),"")</f>
        <v/>
      </c>
    </row>
    <row r="423" spans="1:8" x14ac:dyDescent="0.25">
      <c r="A423" s="54">
        <v>1080102200</v>
      </c>
      <c r="B423" s="54">
        <v>10801022</v>
      </c>
      <c r="C423" s="54">
        <f>RIGHT(Table1[[#This Row],[UACS]],2)*1</f>
        <v>0</v>
      </c>
      <c r="D423" s="54">
        <v>10801022</v>
      </c>
      <c r="E423" s="54">
        <f ca="1">IF(ISNUMBER(SEARCH($I$1,F423)),MAX($E$2:E422)+1,0)</f>
        <v>0</v>
      </c>
      <c r="F423" s="56" t="s">
        <v>499</v>
      </c>
      <c r="H423" s="55" t="str">
        <f ca="1">IFERROR(VLOOKUP(ROWS($H$3:H423),E:F,2,0),"")</f>
        <v/>
      </c>
    </row>
    <row r="424" spans="1:8" x14ac:dyDescent="0.25">
      <c r="A424" s="54">
        <v>1080103000</v>
      </c>
      <c r="B424" s="54">
        <v>10801030</v>
      </c>
      <c r="C424" s="54">
        <f>RIGHT(Table1[[#This Row],[UACS]],2)*1</f>
        <v>0</v>
      </c>
      <c r="D424" s="54">
        <v>10801030</v>
      </c>
      <c r="E424" s="54">
        <f ca="1">IF(ISNUMBER(SEARCH($I$1,F424)),MAX($E$2:E423)+1,0)</f>
        <v>0</v>
      </c>
      <c r="F424" s="56" t="s">
        <v>500</v>
      </c>
      <c r="H424" s="55" t="str">
        <f ca="1">IFERROR(VLOOKUP(ROWS($H$3:H424),E:F,2,0),"")</f>
        <v/>
      </c>
    </row>
    <row r="425" spans="1:8" x14ac:dyDescent="0.25">
      <c r="A425" s="54">
        <v>1080103100</v>
      </c>
      <c r="B425" s="54">
        <v>10801031</v>
      </c>
      <c r="C425" s="54">
        <f>RIGHT(Table1[[#This Row],[UACS]],2)*1</f>
        <v>0</v>
      </c>
      <c r="D425" s="54">
        <v>10801031</v>
      </c>
      <c r="E425" s="54">
        <f ca="1">IF(ISNUMBER(SEARCH($I$1,F425)),MAX($E$2:E424)+1,0)</f>
        <v>0</v>
      </c>
      <c r="F425" s="56" t="s">
        <v>501</v>
      </c>
      <c r="H425" s="55" t="str">
        <f ca="1">IFERROR(VLOOKUP(ROWS($H$3:H425),E:F,2,0),"")</f>
        <v/>
      </c>
    </row>
    <row r="426" spans="1:8" x14ac:dyDescent="0.25">
      <c r="A426" s="54">
        <v>1080103200</v>
      </c>
      <c r="B426" s="54">
        <v>10801032</v>
      </c>
      <c r="C426" s="54">
        <f>RIGHT(Table1[[#This Row],[UACS]],2)*1</f>
        <v>0</v>
      </c>
      <c r="D426" s="54">
        <v>10801032</v>
      </c>
      <c r="E426" s="54">
        <f ca="1">IF(ISNUMBER(SEARCH($I$1,F426)),MAX($E$2:E425)+1,0)</f>
        <v>0</v>
      </c>
      <c r="F426" s="56" t="s">
        <v>502</v>
      </c>
      <c r="H426" s="55" t="str">
        <f ca="1">IFERROR(VLOOKUP(ROWS($H$3:H426),E:F,2,0),"")</f>
        <v/>
      </c>
    </row>
    <row r="427" spans="1:8" x14ac:dyDescent="0.25">
      <c r="A427" s="54">
        <v>1080198000</v>
      </c>
      <c r="B427" s="54">
        <v>10801980</v>
      </c>
      <c r="C427" s="54">
        <f>RIGHT(Table1[[#This Row],[UACS]],2)*1</f>
        <v>0</v>
      </c>
      <c r="D427" s="54">
        <v>10801980</v>
      </c>
      <c r="E427" s="54">
        <f ca="1">IF(ISNUMBER(SEARCH($I$1,F427)),MAX($E$2:E426)+1,0)</f>
        <v>0</v>
      </c>
      <c r="F427" s="56" t="s">
        <v>503</v>
      </c>
      <c r="H427" s="55" t="str">
        <f ca="1">IFERROR(VLOOKUP(ROWS($H$3:H427),E:F,2,0),"")</f>
        <v/>
      </c>
    </row>
    <row r="428" spans="1:8" x14ac:dyDescent="0.25">
      <c r="A428" s="54">
        <v>1080198100</v>
      </c>
      <c r="B428" s="54">
        <v>10801981</v>
      </c>
      <c r="C428" s="54">
        <f>RIGHT(Table1[[#This Row],[UACS]],2)*1</f>
        <v>0</v>
      </c>
      <c r="D428" s="54">
        <v>10801981</v>
      </c>
      <c r="E428" s="54">
        <f ca="1">IF(ISNUMBER(SEARCH($I$1,F428)),MAX($E$2:E427)+1,0)</f>
        <v>0</v>
      </c>
      <c r="F428" s="56" t="s">
        <v>504</v>
      </c>
      <c r="H428" s="55" t="str">
        <f ca="1">IFERROR(VLOOKUP(ROWS($H$3:H428),E:F,2,0),"")</f>
        <v/>
      </c>
    </row>
    <row r="429" spans="1:8" x14ac:dyDescent="0.25">
      <c r="A429" s="54">
        <v>1080198200</v>
      </c>
      <c r="B429" s="54">
        <v>10801982</v>
      </c>
      <c r="C429" s="54">
        <f>RIGHT(Table1[[#This Row],[UACS]],2)*1</f>
        <v>0</v>
      </c>
      <c r="D429" s="54">
        <v>10801982</v>
      </c>
      <c r="E429" s="54">
        <f ca="1">IF(ISNUMBER(SEARCH($I$1,F429)),MAX($E$2:E428)+1,0)</f>
        <v>0</v>
      </c>
      <c r="F429" s="56" t="s">
        <v>505</v>
      </c>
      <c r="H429" s="55" t="str">
        <f ca="1">IFERROR(VLOOKUP(ROWS($H$3:H429),E:F,2,0),"")</f>
        <v/>
      </c>
    </row>
    <row r="430" spans="1:8" x14ac:dyDescent="0.25">
      <c r="A430" s="54">
        <v>1080201000</v>
      </c>
      <c r="B430" s="54">
        <v>10802010</v>
      </c>
      <c r="C430" s="54">
        <f>RIGHT(Table1[[#This Row],[UACS]],2)*1</f>
        <v>0</v>
      </c>
      <c r="D430" s="54">
        <v>10802010</v>
      </c>
      <c r="E430" s="54">
        <f ca="1">IF(ISNUMBER(SEARCH($I$1,F430)),MAX($E$2:E429)+1,0)</f>
        <v>0</v>
      </c>
      <c r="F430" s="56" t="s">
        <v>506</v>
      </c>
      <c r="H430" s="55" t="str">
        <f ca="1">IFERROR(VLOOKUP(ROWS($H$3:H430),E:F,2,0),"")</f>
        <v/>
      </c>
    </row>
    <row r="431" spans="1:8" x14ac:dyDescent="0.25">
      <c r="A431" s="54">
        <v>1080201100</v>
      </c>
      <c r="B431" s="54">
        <v>10802011</v>
      </c>
      <c r="C431" s="54">
        <f>RIGHT(Table1[[#This Row],[UACS]],2)*1</f>
        <v>0</v>
      </c>
      <c r="D431" s="54">
        <v>10802011</v>
      </c>
      <c r="E431" s="54">
        <f ca="1">IF(ISNUMBER(SEARCH($I$1,F431)),MAX($E$2:E430)+1,0)</f>
        <v>0</v>
      </c>
      <c r="F431" s="56" t="s">
        <v>507</v>
      </c>
      <c r="H431" s="55" t="str">
        <f ca="1">IFERROR(VLOOKUP(ROWS($H$3:H431),E:F,2,0),"")</f>
        <v/>
      </c>
    </row>
    <row r="432" spans="1:8" x14ac:dyDescent="0.25">
      <c r="A432" s="54">
        <v>1080201200</v>
      </c>
      <c r="B432" s="54">
        <v>10802012</v>
      </c>
      <c r="C432" s="54">
        <f>RIGHT(Table1[[#This Row],[UACS]],2)*1</f>
        <v>0</v>
      </c>
      <c r="D432" s="54">
        <v>10802012</v>
      </c>
      <c r="E432" s="54">
        <f ca="1">IF(ISNUMBER(SEARCH($I$1,F432)),MAX($E$2:E431)+1,0)</f>
        <v>0</v>
      </c>
      <c r="F432" s="56" t="s">
        <v>508</v>
      </c>
      <c r="H432" s="55" t="str">
        <f ca="1">IFERROR(VLOOKUP(ROWS($H$3:H432),E:F,2,0),"")</f>
        <v/>
      </c>
    </row>
    <row r="433" spans="1:8" x14ac:dyDescent="0.25">
      <c r="A433" s="54">
        <v>1089901000</v>
      </c>
      <c r="B433" s="54">
        <v>10899010</v>
      </c>
      <c r="C433" s="54">
        <f>RIGHT(Table1[[#This Row],[UACS]],2)*1</f>
        <v>0</v>
      </c>
      <c r="D433" s="54">
        <v>10899010</v>
      </c>
      <c r="E433" s="54">
        <f ca="1">IF(ISNUMBER(SEARCH($I$1,F433)),MAX($E$2:E432)+1,0)</f>
        <v>0</v>
      </c>
      <c r="F433" s="56" t="s">
        <v>509</v>
      </c>
      <c r="H433" s="55" t="str">
        <f ca="1">IFERROR(VLOOKUP(ROWS($H$3:H433),E:F,2,0),"")</f>
        <v/>
      </c>
    </row>
    <row r="434" spans="1:8" x14ac:dyDescent="0.25">
      <c r="A434" s="54">
        <v>1089902000</v>
      </c>
      <c r="B434" s="54">
        <v>10899020</v>
      </c>
      <c r="C434" s="54">
        <f>RIGHT(Table1[[#This Row],[UACS]],2)*1</f>
        <v>0</v>
      </c>
      <c r="D434" s="54">
        <v>10899020</v>
      </c>
      <c r="E434" s="54">
        <f ca="1">IF(ISNUMBER(SEARCH($I$1,F434)),MAX($E$2:E433)+1,0)</f>
        <v>0</v>
      </c>
      <c r="F434" s="56" t="s">
        <v>510</v>
      </c>
      <c r="H434" s="55" t="str">
        <f ca="1">IFERROR(VLOOKUP(ROWS($H$3:H434),E:F,2,0),"")</f>
        <v/>
      </c>
    </row>
    <row r="435" spans="1:8" x14ac:dyDescent="0.25">
      <c r="A435" s="54">
        <v>1089903000</v>
      </c>
      <c r="B435" s="54">
        <v>10899030</v>
      </c>
      <c r="C435" s="54">
        <f>RIGHT(Table1[[#This Row],[UACS]],2)*1</f>
        <v>0</v>
      </c>
      <c r="D435" s="54">
        <v>10899030</v>
      </c>
      <c r="E435" s="54">
        <f ca="1">IF(ISNUMBER(SEARCH($I$1,F435)),MAX($E$2:E434)+1,0)</f>
        <v>0</v>
      </c>
      <c r="F435" s="56" t="s">
        <v>511</v>
      </c>
      <c r="H435" s="55" t="str">
        <f ca="1">IFERROR(VLOOKUP(ROWS($H$3:H435),E:F,2,0),"")</f>
        <v/>
      </c>
    </row>
    <row r="436" spans="1:8" x14ac:dyDescent="0.25">
      <c r="A436" s="54">
        <v>1089998000</v>
      </c>
      <c r="B436" s="54">
        <v>10899980</v>
      </c>
      <c r="C436" s="54">
        <f>RIGHT(Table1[[#This Row],[UACS]],2)*1</f>
        <v>0</v>
      </c>
      <c r="D436" s="54">
        <v>10899980</v>
      </c>
      <c r="E436" s="54">
        <f ca="1">IF(ISNUMBER(SEARCH($I$1,F436)),MAX($E$2:E435)+1,0)</f>
        <v>0</v>
      </c>
      <c r="F436" s="56" t="s">
        <v>512</v>
      </c>
      <c r="H436" s="55" t="str">
        <f ca="1">IFERROR(VLOOKUP(ROWS($H$3:H436),E:F,2,0),"")</f>
        <v/>
      </c>
    </row>
    <row r="437" spans="1:8" x14ac:dyDescent="0.25">
      <c r="A437" s="54">
        <v>1990101000</v>
      </c>
      <c r="B437" s="54">
        <v>19901010</v>
      </c>
      <c r="C437" s="54">
        <f>RIGHT(Table1[[#This Row],[UACS]],2)*1</f>
        <v>0</v>
      </c>
      <c r="D437" s="54">
        <v>19901010</v>
      </c>
      <c r="E437" s="54">
        <f ca="1">IF(ISNUMBER(SEARCH($I$1,F437)),MAX($E$2:E436)+1,0)</f>
        <v>0</v>
      </c>
      <c r="F437" s="56" t="s">
        <v>513</v>
      </c>
      <c r="H437" s="55" t="str">
        <f ca="1">IFERROR(VLOOKUP(ROWS($H$3:H437),E:F,2,0),"")</f>
        <v/>
      </c>
    </row>
    <row r="438" spans="1:8" x14ac:dyDescent="0.25">
      <c r="A438" s="54">
        <v>1990102000</v>
      </c>
      <c r="B438" s="54">
        <v>19901020</v>
      </c>
      <c r="C438" s="54">
        <f>RIGHT(Table1[[#This Row],[UACS]],2)*1</f>
        <v>0</v>
      </c>
      <c r="D438" s="54">
        <v>19901020</v>
      </c>
      <c r="E438" s="54">
        <f ca="1">IF(ISNUMBER(SEARCH($I$1,F438)),MAX($E$2:E437)+1,0)</f>
        <v>0</v>
      </c>
      <c r="F438" s="56" t="s">
        <v>514</v>
      </c>
      <c r="H438" s="55" t="str">
        <f ca="1">IFERROR(VLOOKUP(ROWS($H$3:H438),E:F,2,0),"")</f>
        <v/>
      </c>
    </row>
    <row r="439" spans="1:8" x14ac:dyDescent="0.25">
      <c r="A439" s="54">
        <v>1990103000</v>
      </c>
      <c r="B439" s="54">
        <v>19901030</v>
      </c>
      <c r="C439" s="54">
        <f>RIGHT(Table1[[#This Row],[UACS]],2)*1</f>
        <v>0</v>
      </c>
      <c r="D439" s="54">
        <v>19901030</v>
      </c>
      <c r="E439" s="54">
        <f ca="1">IF(ISNUMBER(SEARCH($I$1,F439)),MAX($E$2:E438)+1,0)</f>
        <v>0</v>
      </c>
      <c r="F439" s="56" t="s">
        <v>515</v>
      </c>
      <c r="H439" s="55" t="str">
        <f ca="1">IFERROR(VLOOKUP(ROWS($H$3:H439),E:F,2,0),"")</f>
        <v/>
      </c>
    </row>
    <row r="440" spans="1:8" x14ac:dyDescent="0.25">
      <c r="A440" s="54">
        <v>1990104000</v>
      </c>
      <c r="B440" s="54">
        <v>19901040</v>
      </c>
      <c r="C440" s="54">
        <f>RIGHT(Table1[[#This Row],[UACS]],2)*1</f>
        <v>0</v>
      </c>
      <c r="D440" s="54">
        <v>19901040</v>
      </c>
      <c r="E440" s="54">
        <f ca="1">IF(ISNUMBER(SEARCH($I$1,F440)),MAX($E$2:E439)+1,0)</f>
        <v>0</v>
      </c>
      <c r="F440" s="56" t="s">
        <v>516</v>
      </c>
      <c r="H440" s="55" t="str">
        <f ca="1">IFERROR(VLOOKUP(ROWS($H$3:H440),E:F,2,0),"")</f>
        <v/>
      </c>
    </row>
    <row r="441" spans="1:8" x14ac:dyDescent="0.25">
      <c r="A441" s="54">
        <v>1990201000</v>
      </c>
      <c r="B441" s="54">
        <v>19902010</v>
      </c>
      <c r="C441" s="54">
        <f>RIGHT(Table1[[#This Row],[UACS]],2)*1</f>
        <v>0</v>
      </c>
      <c r="D441" s="54">
        <v>19902010</v>
      </c>
      <c r="E441" s="54">
        <f ca="1">IF(ISNUMBER(SEARCH($I$1,F441)),MAX($E$2:E440)+1,0)</f>
        <v>0</v>
      </c>
      <c r="F441" s="56" t="s">
        <v>517</v>
      </c>
      <c r="H441" s="55" t="str">
        <f ca="1">IFERROR(VLOOKUP(ROWS($H$3:H441),E:F,2,0),"")</f>
        <v/>
      </c>
    </row>
    <row r="442" spans="1:8" x14ac:dyDescent="0.25">
      <c r="A442" s="54">
        <v>1990202000</v>
      </c>
      <c r="B442" s="54">
        <v>19902020</v>
      </c>
      <c r="C442" s="54">
        <f>RIGHT(Table1[[#This Row],[UACS]],2)*1</f>
        <v>0</v>
      </c>
      <c r="D442" s="54">
        <v>19902020</v>
      </c>
      <c r="E442" s="54">
        <f ca="1">IF(ISNUMBER(SEARCH($I$1,F442)),MAX($E$2:E441)+1,0)</f>
        <v>0</v>
      </c>
      <c r="F442" s="56" t="s">
        <v>518</v>
      </c>
      <c r="H442" s="55" t="str">
        <f ca="1">IFERROR(VLOOKUP(ROWS($H$3:H442),E:F,2,0),"")</f>
        <v/>
      </c>
    </row>
    <row r="443" spans="1:8" x14ac:dyDescent="0.25">
      <c r="A443" s="54">
        <v>1990203000</v>
      </c>
      <c r="B443" s="54">
        <v>19902030</v>
      </c>
      <c r="C443" s="54">
        <f>RIGHT(Table1[[#This Row],[UACS]],2)*1</f>
        <v>0</v>
      </c>
      <c r="D443" s="54">
        <v>19902030</v>
      </c>
      <c r="E443" s="54">
        <f ca="1">IF(ISNUMBER(SEARCH($I$1,F443)),MAX($E$2:E442)+1,0)</f>
        <v>0</v>
      </c>
      <c r="F443" s="56" t="s">
        <v>519</v>
      </c>
      <c r="H443" s="55" t="str">
        <f ca="1">IFERROR(VLOOKUP(ROWS($H$3:H443),E:F,2,0),"")</f>
        <v/>
      </c>
    </row>
    <row r="444" spans="1:8" x14ac:dyDescent="0.25">
      <c r="A444" s="54">
        <v>1990204000</v>
      </c>
      <c r="B444" s="54">
        <v>19902040</v>
      </c>
      <c r="C444" s="54">
        <f>RIGHT(Table1[[#This Row],[UACS]],2)*1</f>
        <v>0</v>
      </c>
      <c r="D444" s="54">
        <v>19902040</v>
      </c>
      <c r="E444" s="54">
        <f ca="1">IF(ISNUMBER(SEARCH($I$1,F444)),MAX($E$2:E443)+1,0)</f>
        <v>0</v>
      </c>
      <c r="F444" s="56" t="s">
        <v>520</v>
      </c>
      <c r="H444" s="55" t="str">
        <f ca="1">IFERROR(VLOOKUP(ROWS($H$3:H444),E:F,2,0),"")</f>
        <v/>
      </c>
    </row>
    <row r="445" spans="1:8" x14ac:dyDescent="0.25">
      <c r="A445" s="54">
        <v>1990205000</v>
      </c>
      <c r="B445" s="54">
        <v>19902050</v>
      </c>
      <c r="C445" s="54">
        <f>RIGHT(Table1[[#This Row],[UACS]],2)*1</f>
        <v>0</v>
      </c>
      <c r="D445" s="54">
        <v>19902050</v>
      </c>
      <c r="E445" s="54">
        <f ca="1">IF(ISNUMBER(SEARCH($I$1,F445)),MAX($E$2:E444)+1,0)</f>
        <v>0</v>
      </c>
      <c r="F445" s="56" t="s">
        <v>521</v>
      </c>
      <c r="H445" s="55" t="str">
        <f ca="1">IFERROR(VLOOKUP(ROWS($H$3:H445),E:F,2,0),"")</f>
        <v/>
      </c>
    </row>
    <row r="446" spans="1:8" x14ac:dyDescent="0.25">
      <c r="A446" s="54">
        <v>1990299000</v>
      </c>
      <c r="B446" s="54">
        <v>19902990</v>
      </c>
      <c r="C446" s="54">
        <f>RIGHT(Table1[[#This Row],[UACS]],2)*1</f>
        <v>0</v>
      </c>
      <c r="D446" s="54">
        <v>19902990</v>
      </c>
      <c r="E446" s="54">
        <f ca="1">IF(ISNUMBER(SEARCH($I$1,F446)),MAX($E$2:E445)+1,0)</f>
        <v>0</v>
      </c>
      <c r="F446" s="56" t="s">
        <v>522</v>
      </c>
      <c r="H446" s="55" t="str">
        <f ca="1">IFERROR(VLOOKUP(ROWS($H$3:H446),E:F,2,0),"")</f>
        <v/>
      </c>
    </row>
    <row r="447" spans="1:8" x14ac:dyDescent="0.25">
      <c r="A447" s="54">
        <v>1990301000</v>
      </c>
      <c r="B447" s="54">
        <v>19903010</v>
      </c>
      <c r="C447" s="54">
        <f>RIGHT(Table1[[#This Row],[UACS]],2)*1</f>
        <v>0</v>
      </c>
      <c r="D447" s="54">
        <v>19903010</v>
      </c>
      <c r="E447" s="54">
        <f ca="1">IF(ISNUMBER(SEARCH($I$1,F447)),MAX($E$2:E446)+1,0)</f>
        <v>0</v>
      </c>
      <c r="F447" s="56" t="s">
        <v>523</v>
      </c>
      <c r="H447" s="55" t="str">
        <f ca="1">IFERROR(VLOOKUP(ROWS($H$3:H447),E:F,2,0),"")</f>
        <v/>
      </c>
    </row>
    <row r="448" spans="1:8" x14ac:dyDescent="0.25">
      <c r="A448" s="54">
        <v>1990302000</v>
      </c>
      <c r="B448" s="54">
        <v>19903020</v>
      </c>
      <c r="C448" s="54">
        <f>RIGHT(Table1[[#This Row],[UACS]],2)*1</f>
        <v>0</v>
      </c>
      <c r="D448" s="54">
        <v>19903020</v>
      </c>
      <c r="E448" s="54">
        <f ca="1">IF(ISNUMBER(SEARCH($I$1,F448)),MAX($E$2:E447)+1,0)</f>
        <v>0</v>
      </c>
      <c r="F448" s="56" t="s">
        <v>524</v>
      </c>
      <c r="H448" s="55" t="str">
        <f ca="1">IFERROR(VLOOKUP(ROWS($H$3:H448),E:F,2,0),"")</f>
        <v/>
      </c>
    </row>
    <row r="449" spans="1:8" x14ac:dyDescent="0.25">
      <c r="A449" s="54">
        <v>1990399000</v>
      </c>
      <c r="B449" s="54">
        <v>19903990</v>
      </c>
      <c r="C449" s="54">
        <f>RIGHT(Table1[[#This Row],[UACS]],2)*1</f>
        <v>0</v>
      </c>
      <c r="D449" s="54">
        <v>19903990</v>
      </c>
      <c r="E449" s="54">
        <f ca="1">IF(ISNUMBER(SEARCH($I$1,F449)),MAX($E$2:E448)+1,0)</f>
        <v>0</v>
      </c>
      <c r="F449" s="56" t="s">
        <v>525</v>
      </c>
      <c r="H449" s="55" t="str">
        <f ca="1">IFERROR(VLOOKUP(ROWS($H$3:H449),E:F,2,0),"")</f>
        <v/>
      </c>
    </row>
    <row r="450" spans="1:8" x14ac:dyDescent="0.25">
      <c r="A450" s="54">
        <v>1999901000</v>
      </c>
      <c r="B450" s="54">
        <v>19999010</v>
      </c>
      <c r="C450" s="54">
        <f>RIGHT(Table1[[#This Row],[UACS]],2)*1</f>
        <v>0</v>
      </c>
      <c r="D450" s="54">
        <v>19999010</v>
      </c>
      <c r="E450" s="54">
        <f ca="1">IF(ISNUMBER(SEARCH($I$1,F450)),MAX($E$2:E449)+1,0)</f>
        <v>0</v>
      </c>
      <c r="F450" s="56" t="s">
        <v>526</v>
      </c>
      <c r="H450" s="55" t="str">
        <f ca="1">IFERROR(VLOOKUP(ROWS($H$3:H450),E:F,2,0),"")</f>
        <v/>
      </c>
    </row>
    <row r="451" spans="1:8" x14ac:dyDescent="0.25">
      <c r="A451" s="54">
        <v>1999901100</v>
      </c>
      <c r="B451" s="54">
        <v>19999011</v>
      </c>
      <c r="C451" s="54">
        <f>RIGHT(Table1[[#This Row],[UACS]],2)*1</f>
        <v>0</v>
      </c>
      <c r="D451" s="54">
        <v>19999011</v>
      </c>
      <c r="E451" s="54">
        <f ca="1">IF(ISNUMBER(SEARCH($I$1,F451)),MAX($E$2:E450)+1,0)</f>
        <v>0</v>
      </c>
      <c r="F451" s="56" t="s">
        <v>527</v>
      </c>
      <c r="H451" s="55" t="str">
        <f ca="1">IFERROR(VLOOKUP(ROWS($H$3:H451),E:F,2,0),"")</f>
        <v/>
      </c>
    </row>
    <row r="452" spans="1:8" x14ac:dyDescent="0.25">
      <c r="A452" s="54">
        <v>1999902000</v>
      </c>
      <c r="B452" s="54">
        <v>19999020</v>
      </c>
      <c r="C452" s="54">
        <f>RIGHT(Table1[[#This Row],[UACS]],2)*1</f>
        <v>0</v>
      </c>
      <c r="D452" s="54">
        <v>19999020</v>
      </c>
      <c r="E452" s="54">
        <f ca="1">IF(ISNUMBER(SEARCH($I$1,F452)),MAX($E$2:E451)+1,0)</f>
        <v>0</v>
      </c>
      <c r="F452" s="56" t="s">
        <v>528</v>
      </c>
      <c r="H452" s="55" t="str">
        <f ca="1">IFERROR(VLOOKUP(ROWS($H$3:H452),E:F,2,0),"")</f>
        <v/>
      </c>
    </row>
    <row r="453" spans="1:8" x14ac:dyDescent="0.25">
      <c r="A453" s="54">
        <v>1999902100</v>
      </c>
      <c r="B453" s="54">
        <v>19999021</v>
      </c>
      <c r="C453" s="54">
        <f>RIGHT(Table1[[#This Row],[UACS]],2)*1</f>
        <v>0</v>
      </c>
      <c r="D453" s="54">
        <v>19999021</v>
      </c>
      <c r="E453" s="54">
        <f ca="1">IF(ISNUMBER(SEARCH($I$1,F453)),MAX($E$2:E452)+1,0)</f>
        <v>0</v>
      </c>
      <c r="F453" s="56" t="s">
        <v>529</v>
      </c>
      <c r="H453" s="55" t="str">
        <f ca="1">IFERROR(VLOOKUP(ROWS($H$3:H453),E:F,2,0),"")</f>
        <v/>
      </c>
    </row>
    <row r="454" spans="1:8" x14ac:dyDescent="0.25">
      <c r="A454" s="54">
        <v>1999903000</v>
      </c>
      <c r="B454" s="54">
        <v>19999030</v>
      </c>
      <c r="C454" s="54">
        <f>RIGHT(Table1[[#This Row],[UACS]],2)*1</f>
        <v>0</v>
      </c>
      <c r="D454" s="54">
        <v>19999030</v>
      </c>
      <c r="E454" s="54">
        <f ca="1">IF(ISNUMBER(SEARCH($I$1,F454)),MAX($E$2:E453)+1,0)</f>
        <v>0</v>
      </c>
      <c r="F454" s="56" t="s">
        <v>530</v>
      </c>
      <c r="H454" s="55" t="str">
        <f ca="1">IFERROR(VLOOKUP(ROWS($H$3:H454),E:F,2,0),"")</f>
        <v/>
      </c>
    </row>
    <row r="455" spans="1:8" x14ac:dyDescent="0.25">
      <c r="A455" s="54">
        <v>1999903100</v>
      </c>
      <c r="B455" s="54">
        <v>19999031</v>
      </c>
      <c r="C455" s="54">
        <f>RIGHT(Table1[[#This Row],[UACS]],2)*1</f>
        <v>0</v>
      </c>
      <c r="D455" s="54">
        <v>19999031</v>
      </c>
      <c r="E455" s="54">
        <f ca="1">IF(ISNUMBER(SEARCH($I$1,F455)),MAX($E$2:E454)+1,0)</f>
        <v>0</v>
      </c>
      <c r="F455" s="56" t="s">
        <v>531</v>
      </c>
      <c r="H455" s="55" t="str">
        <f ca="1">IFERROR(VLOOKUP(ROWS($H$3:H455),E:F,2,0),"")</f>
        <v/>
      </c>
    </row>
    <row r="456" spans="1:8" x14ac:dyDescent="0.25">
      <c r="A456" s="54">
        <v>1999904000</v>
      </c>
      <c r="B456" s="54">
        <v>19999040</v>
      </c>
      <c r="C456" s="54">
        <f>RIGHT(Table1[[#This Row],[UACS]],2)*1</f>
        <v>0</v>
      </c>
      <c r="D456" s="54">
        <v>19999040</v>
      </c>
      <c r="E456" s="54">
        <f ca="1">IF(ISNUMBER(SEARCH($I$1,F456)),MAX($E$2:E455)+1,0)</f>
        <v>0</v>
      </c>
      <c r="F456" s="56" t="s">
        <v>532</v>
      </c>
      <c r="H456" s="55" t="str">
        <f ca="1">IFERROR(VLOOKUP(ROWS($H$3:H456),E:F,2,0),"")</f>
        <v/>
      </c>
    </row>
    <row r="457" spans="1:8" x14ac:dyDescent="0.25">
      <c r="A457" s="54">
        <v>1999904100</v>
      </c>
      <c r="B457" s="54">
        <v>19999041</v>
      </c>
      <c r="C457" s="54">
        <f>RIGHT(Table1[[#This Row],[UACS]],2)*1</f>
        <v>0</v>
      </c>
      <c r="D457" s="54">
        <v>19999041</v>
      </c>
      <c r="E457" s="54">
        <f ca="1">IF(ISNUMBER(SEARCH($I$1,F457)),MAX($E$2:E456)+1,0)</f>
        <v>0</v>
      </c>
      <c r="F457" s="56" t="s">
        <v>533</v>
      </c>
      <c r="H457" s="55" t="str">
        <f ca="1">IFERROR(VLOOKUP(ROWS($H$3:H457),E:F,2,0),"")</f>
        <v/>
      </c>
    </row>
    <row r="458" spans="1:8" x14ac:dyDescent="0.25">
      <c r="A458" s="54">
        <v>1999905000</v>
      </c>
      <c r="B458" s="54">
        <v>19999050</v>
      </c>
      <c r="C458" s="54">
        <f>RIGHT(Table1[[#This Row],[UACS]],2)*1</f>
        <v>0</v>
      </c>
      <c r="D458" s="54">
        <v>19999050</v>
      </c>
      <c r="E458" s="54">
        <f ca="1">IF(ISNUMBER(SEARCH($I$1,F458)),MAX($E$2:E457)+1,0)</f>
        <v>0</v>
      </c>
      <c r="F458" s="56" t="s">
        <v>534</v>
      </c>
      <c r="H458" s="55" t="str">
        <f ca="1">IFERROR(VLOOKUP(ROWS($H$3:H458),E:F,2,0),"")</f>
        <v/>
      </c>
    </row>
    <row r="459" spans="1:8" x14ac:dyDescent="0.25">
      <c r="A459" s="54">
        <v>1999905100</v>
      </c>
      <c r="B459" s="54">
        <v>19999051</v>
      </c>
      <c r="C459" s="54">
        <f>RIGHT(Table1[[#This Row],[UACS]],2)*1</f>
        <v>0</v>
      </c>
      <c r="D459" s="54">
        <v>19999051</v>
      </c>
      <c r="E459" s="54">
        <f ca="1">IF(ISNUMBER(SEARCH($I$1,F459)),MAX($E$2:E458)+1,0)</f>
        <v>0</v>
      </c>
      <c r="F459" s="56" t="s">
        <v>535</v>
      </c>
      <c r="H459" s="55" t="str">
        <f ca="1">IFERROR(VLOOKUP(ROWS($H$3:H459),E:F,2,0),"")</f>
        <v/>
      </c>
    </row>
    <row r="460" spans="1:8" x14ac:dyDescent="0.25">
      <c r="A460" s="54">
        <v>1999999000</v>
      </c>
      <c r="B460" s="54">
        <v>19999990</v>
      </c>
      <c r="C460" s="54">
        <f>RIGHT(Table1[[#This Row],[UACS]],2)*1</f>
        <v>0</v>
      </c>
      <c r="D460" s="54">
        <v>19999990</v>
      </c>
      <c r="E460" s="54">
        <f ca="1">IF(ISNUMBER(SEARCH($I$1,F460)),MAX($E$2:E459)+1,0)</f>
        <v>0</v>
      </c>
      <c r="F460" s="56" t="s">
        <v>536</v>
      </c>
      <c r="H460" s="55" t="str">
        <f ca="1">IFERROR(VLOOKUP(ROWS($H$3:H460),E:F,2,0),"")</f>
        <v/>
      </c>
    </row>
    <row r="461" spans="1:8" x14ac:dyDescent="0.25">
      <c r="A461" s="54">
        <v>1999999100</v>
      </c>
      <c r="B461" s="54">
        <v>19999991</v>
      </c>
      <c r="C461" s="54">
        <f>RIGHT(Table1[[#This Row],[UACS]],2)*1</f>
        <v>0</v>
      </c>
      <c r="D461" s="54">
        <v>19999991</v>
      </c>
      <c r="E461" s="54">
        <f ca="1">IF(ISNUMBER(SEARCH($I$1,F461)),MAX($E$2:E460)+1,0)</f>
        <v>0</v>
      </c>
      <c r="F461" s="56" t="s">
        <v>537</v>
      </c>
      <c r="H461" s="55" t="str">
        <f ca="1">IFERROR(VLOOKUP(ROWS($H$3:H461),E:F,2,0),"")</f>
        <v/>
      </c>
    </row>
    <row r="462" spans="1:8" x14ac:dyDescent="0.25">
      <c r="A462" s="54">
        <v>2010101000</v>
      </c>
      <c r="B462" s="54">
        <v>20101010</v>
      </c>
      <c r="C462" s="54">
        <f>RIGHT(Table1[[#This Row],[UACS]],2)*1</f>
        <v>0</v>
      </c>
      <c r="D462" s="54">
        <v>20101010</v>
      </c>
      <c r="E462" s="54">
        <f ca="1">IF(ISNUMBER(SEARCH($I$1,F462)),MAX($E$2:E461)+1,0)</f>
        <v>0</v>
      </c>
      <c r="F462" s="56" t="s">
        <v>538</v>
      </c>
      <c r="H462" s="55" t="str">
        <f ca="1">IFERROR(VLOOKUP(ROWS($H$3:H462),E:F,2,0),"")</f>
        <v/>
      </c>
    </row>
    <row r="463" spans="1:8" x14ac:dyDescent="0.25">
      <c r="A463" s="54">
        <v>2010102000</v>
      </c>
      <c r="B463" s="54">
        <v>20101020</v>
      </c>
      <c r="C463" s="54">
        <f>RIGHT(Table1[[#This Row],[UACS]],2)*1</f>
        <v>0</v>
      </c>
      <c r="D463" s="54">
        <v>20101020</v>
      </c>
      <c r="E463" s="54">
        <f ca="1">IF(ISNUMBER(SEARCH($I$1,F463)),MAX($E$2:E462)+1,0)</f>
        <v>0</v>
      </c>
      <c r="F463" s="56" t="s">
        <v>539</v>
      </c>
      <c r="H463" s="55" t="str">
        <f ca="1">IFERROR(VLOOKUP(ROWS($H$3:H463),E:F,2,0),"")</f>
        <v/>
      </c>
    </row>
    <row r="464" spans="1:8" x14ac:dyDescent="0.25">
      <c r="A464" s="54">
        <v>2010103000</v>
      </c>
      <c r="B464" s="54">
        <v>20101030</v>
      </c>
      <c r="C464" s="54">
        <f>RIGHT(Table1[[#This Row],[UACS]],2)*1</f>
        <v>0</v>
      </c>
      <c r="D464" s="54">
        <v>20101030</v>
      </c>
      <c r="E464" s="54">
        <f ca="1">IF(ISNUMBER(SEARCH($I$1,F464)),MAX($E$2:E463)+1,0)</f>
        <v>0</v>
      </c>
      <c r="F464" s="56" t="s">
        <v>540</v>
      </c>
      <c r="H464" s="55" t="str">
        <f ca="1">IFERROR(VLOOKUP(ROWS($H$3:H464),E:F,2,0),"")</f>
        <v/>
      </c>
    </row>
    <row r="465" spans="1:8" x14ac:dyDescent="0.25">
      <c r="A465" s="54">
        <v>2010104000</v>
      </c>
      <c r="B465" s="54">
        <v>20101040</v>
      </c>
      <c r="C465" s="54">
        <f>RIGHT(Table1[[#This Row],[UACS]],2)*1</f>
        <v>0</v>
      </c>
      <c r="D465" s="54">
        <v>20101040</v>
      </c>
      <c r="E465" s="54">
        <f ca="1">IF(ISNUMBER(SEARCH($I$1,F465)),MAX($E$2:E464)+1,0)</f>
        <v>0</v>
      </c>
      <c r="F465" s="56" t="s">
        <v>541</v>
      </c>
      <c r="H465" s="55" t="str">
        <f ca="1">IFERROR(VLOOKUP(ROWS($H$3:H465),E:F,2,0),"")</f>
        <v/>
      </c>
    </row>
    <row r="466" spans="1:8" x14ac:dyDescent="0.25">
      <c r="A466" s="54">
        <v>2010105000</v>
      </c>
      <c r="B466" s="54">
        <v>20101050</v>
      </c>
      <c r="C466" s="54">
        <f>RIGHT(Table1[[#This Row],[UACS]],2)*1</f>
        <v>0</v>
      </c>
      <c r="D466" s="54">
        <v>20101050</v>
      </c>
      <c r="E466" s="54">
        <f ca="1">IF(ISNUMBER(SEARCH($I$1,F466)),MAX($E$2:E465)+1,0)</f>
        <v>0</v>
      </c>
      <c r="F466" s="56" t="s">
        <v>542</v>
      </c>
      <c r="H466" s="55" t="str">
        <f ca="1">IFERROR(VLOOKUP(ROWS($H$3:H466),E:F,2,0),"")</f>
        <v/>
      </c>
    </row>
    <row r="467" spans="1:8" x14ac:dyDescent="0.25">
      <c r="A467" s="54">
        <v>2010106000</v>
      </c>
      <c r="B467" s="54">
        <v>20101060</v>
      </c>
      <c r="C467" s="54">
        <f>RIGHT(Table1[[#This Row],[UACS]],2)*1</f>
        <v>0</v>
      </c>
      <c r="D467" s="54">
        <v>20101060</v>
      </c>
      <c r="E467" s="54">
        <f ca="1">IF(ISNUMBER(SEARCH($I$1,F467)),MAX($E$2:E466)+1,0)</f>
        <v>0</v>
      </c>
      <c r="F467" s="56" t="s">
        <v>543</v>
      </c>
      <c r="H467" s="55" t="str">
        <f ca="1">IFERROR(VLOOKUP(ROWS($H$3:H467),E:F,2,0),"")</f>
        <v/>
      </c>
    </row>
    <row r="468" spans="1:8" x14ac:dyDescent="0.25">
      <c r="A468" s="54">
        <v>2010107000</v>
      </c>
      <c r="B468" s="54">
        <v>20101070</v>
      </c>
      <c r="C468" s="54">
        <f>RIGHT(Table1[[#This Row],[UACS]],2)*1</f>
        <v>0</v>
      </c>
      <c r="D468" s="54">
        <v>20101070</v>
      </c>
      <c r="E468" s="54">
        <f ca="1">IF(ISNUMBER(SEARCH($I$1,F468)),MAX($E$2:E467)+1,0)</f>
        <v>0</v>
      </c>
      <c r="F468" s="56" t="s">
        <v>544</v>
      </c>
      <c r="H468" s="55" t="str">
        <f ca="1">IFERROR(VLOOKUP(ROWS($H$3:H468),E:F,2,0),"")</f>
        <v/>
      </c>
    </row>
    <row r="469" spans="1:8" x14ac:dyDescent="0.25">
      <c r="A469" s="54">
        <v>2010108000</v>
      </c>
      <c r="B469" s="54">
        <v>20101080</v>
      </c>
      <c r="C469" s="54">
        <f>RIGHT(Table1[[#This Row],[UACS]],2)*1</f>
        <v>0</v>
      </c>
      <c r="D469" s="54">
        <v>20101080</v>
      </c>
      <c r="E469" s="54">
        <f ca="1">IF(ISNUMBER(SEARCH($I$1,F469)),MAX($E$2:E468)+1,0)</f>
        <v>0</v>
      </c>
      <c r="F469" s="56" t="s">
        <v>545</v>
      </c>
      <c r="H469" s="55" t="str">
        <f ca="1">IFERROR(VLOOKUP(ROWS($H$3:H469),E:F,2,0),"")</f>
        <v/>
      </c>
    </row>
    <row r="470" spans="1:8" x14ac:dyDescent="0.25">
      <c r="A470" s="54">
        <v>2010109000</v>
      </c>
      <c r="B470" s="54">
        <v>20101090</v>
      </c>
      <c r="C470" s="54">
        <f>RIGHT(Table1[[#This Row],[UACS]],2)*1</f>
        <v>0</v>
      </c>
      <c r="D470" s="54">
        <v>20101090</v>
      </c>
      <c r="E470" s="54">
        <f ca="1">IF(ISNUMBER(SEARCH($I$1,F470)),MAX($E$2:E469)+1,0)</f>
        <v>0</v>
      </c>
      <c r="F470" s="56" t="s">
        <v>546</v>
      </c>
      <c r="H470" s="55" t="str">
        <f ca="1">IFERROR(VLOOKUP(ROWS($H$3:H470),E:F,2,0),"")</f>
        <v/>
      </c>
    </row>
    <row r="471" spans="1:8" x14ac:dyDescent="0.25">
      <c r="A471" s="54">
        <v>2010201000</v>
      </c>
      <c r="B471" s="54">
        <v>20102010</v>
      </c>
      <c r="C471" s="54">
        <f>RIGHT(Table1[[#This Row],[UACS]],2)*1</f>
        <v>0</v>
      </c>
      <c r="D471" s="54">
        <v>20102010</v>
      </c>
      <c r="E471" s="54">
        <f ca="1">IF(ISNUMBER(SEARCH($I$1,F471)),MAX($E$2:E470)+1,0)</f>
        <v>0</v>
      </c>
      <c r="F471" s="56" t="s">
        <v>547</v>
      </c>
      <c r="H471" s="55" t="str">
        <f ca="1">IFERROR(VLOOKUP(ROWS($H$3:H471),E:F,2,0),"")</f>
        <v/>
      </c>
    </row>
    <row r="472" spans="1:8" x14ac:dyDescent="0.25">
      <c r="A472" s="54">
        <v>2010202000</v>
      </c>
      <c r="B472" s="54">
        <v>20102020</v>
      </c>
      <c r="C472" s="54">
        <f>RIGHT(Table1[[#This Row],[UACS]],2)*1</f>
        <v>0</v>
      </c>
      <c r="D472" s="54">
        <v>20102020</v>
      </c>
      <c r="E472" s="54">
        <f ca="1">IF(ISNUMBER(SEARCH($I$1,F472)),MAX($E$2:E471)+1,0)</f>
        <v>0</v>
      </c>
      <c r="F472" s="56" t="s">
        <v>548</v>
      </c>
      <c r="H472" s="55" t="str">
        <f ca="1">IFERROR(VLOOKUP(ROWS($H$3:H472),E:F,2,0),"")</f>
        <v/>
      </c>
    </row>
    <row r="473" spans="1:8" x14ac:dyDescent="0.25">
      <c r="A473" s="54">
        <v>2010202100</v>
      </c>
      <c r="B473" s="54">
        <v>20102021</v>
      </c>
      <c r="C473" s="54">
        <f>RIGHT(Table1[[#This Row],[UACS]],2)*1</f>
        <v>0</v>
      </c>
      <c r="D473" s="54">
        <v>20102021</v>
      </c>
      <c r="E473" s="54">
        <f ca="1">IF(ISNUMBER(SEARCH($I$1,F473)),MAX($E$2:E472)+1,0)</f>
        <v>0</v>
      </c>
      <c r="F473" s="56" t="s">
        <v>549</v>
      </c>
      <c r="H473" s="55" t="str">
        <f ca="1">IFERROR(VLOOKUP(ROWS($H$3:H473),E:F,2,0),"")</f>
        <v/>
      </c>
    </row>
    <row r="474" spans="1:8" x14ac:dyDescent="0.25">
      <c r="A474" s="54">
        <v>2010202200</v>
      </c>
      <c r="B474" s="54">
        <v>20102022</v>
      </c>
      <c r="C474" s="54">
        <f>RIGHT(Table1[[#This Row],[UACS]],2)*1</f>
        <v>0</v>
      </c>
      <c r="D474" s="54">
        <v>20102022</v>
      </c>
      <c r="E474" s="54">
        <f ca="1">IF(ISNUMBER(SEARCH($I$1,F474)),MAX($E$2:E473)+1,0)</f>
        <v>0</v>
      </c>
      <c r="F474" s="56" t="s">
        <v>550</v>
      </c>
      <c r="H474" s="55" t="str">
        <f ca="1">IFERROR(VLOOKUP(ROWS($H$3:H474),E:F,2,0),"")</f>
        <v/>
      </c>
    </row>
    <row r="475" spans="1:8" x14ac:dyDescent="0.25">
      <c r="A475" s="54">
        <v>2010202300</v>
      </c>
      <c r="B475" s="54">
        <v>20102023</v>
      </c>
      <c r="C475" s="54">
        <f>RIGHT(Table1[[#This Row],[UACS]],2)*1</f>
        <v>0</v>
      </c>
      <c r="D475" s="54">
        <v>20102023</v>
      </c>
      <c r="E475" s="54">
        <f ca="1">IF(ISNUMBER(SEARCH($I$1,F475)),MAX($E$2:E474)+1,0)</f>
        <v>0</v>
      </c>
      <c r="F475" s="56" t="s">
        <v>551</v>
      </c>
      <c r="H475" s="55" t="str">
        <f ca="1">IFERROR(VLOOKUP(ROWS($H$3:H475),E:F,2,0),"")</f>
        <v/>
      </c>
    </row>
    <row r="476" spans="1:8" x14ac:dyDescent="0.25">
      <c r="A476" s="54">
        <v>2010203000</v>
      </c>
      <c r="B476" s="54">
        <v>20102030</v>
      </c>
      <c r="C476" s="54">
        <f>RIGHT(Table1[[#This Row],[UACS]],2)*1</f>
        <v>0</v>
      </c>
      <c r="D476" s="54">
        <v>20102030</v>
      </c>
      <c r="E476" s="54">
        <f ca="1">IF(ISNUMBER(SEARCH($I$1,F476)),MAX($E$2:E475)+1,0)</f>
        <v>0</v>
      </c>
      <c r="F476" s="56" t="s">
        <v>552</v>
      </c>
      <c r="H476" s="55" t="str">
        <f ca="1">IFERROR(VLOOKUP(ROWS($H$3:H476),E:F,2,0),"")</f>
        <v/>
      </c>
    </row>
    <row r="477" spans="1:8" x14ac:dyDescent="0.25">
      <c r="A477" s="54">
        <v>2010203100</v>
      </c>
      <c r="B477" s="54">
        <v>20102031</v>
      </c>
      <c r="C477" s="54">
        <f>RIGHT(Table1[[#This Row],[UACS]],2)*1</f>
        <v>0</v>
      </c>
      <c r="D477" s="54">
        <v>20102031</v>
      </c>
      <c r="E477" s="54">
        <f ca="1">IF(ISNUMBER(SEARCH($I$1,F477)),MAX($E$2:E476)+1,0)</f>
        <v>0</v>
      </c>
      <c r="F477" s="56" t="s">
        <v>553</v>
      </c>
      <c r="H477" s="55" t="str">
        <f ca="1">IFERROR(VLOOKUP(ROWS($H$3:H477),E:F,2,0),"")</f>
        <v/>
      </c>
    </row>
    <row r="478" spans="1:8" x14ac:dyDescent="0.25">
      <c r="A478" s="54">
        <v>2010203200</v>
      </c>
      <c r="B478" s="54">
        <v>20102032</v>
      </c>
      <c r="C478" s="54">
        <f>RIGHT(Table1[[#This Row],[UACS]],2)*1</f>
        <v>0</v>
      </c>
      <c r="D478" s="54">
        <v>20102032</v>
      </c>
      <c r="E478" s="54">
        <f ca="1">IF(ISNUMBER(SEARCH($I$1,F478)),MAX($E$2:E477)+1,0)</f>
        <v>0</v>
      </c>
      <c r="F478" s="56" t="s">
        <v>554</v>
      </c>
      <c r="H478" s="55" t="str">
        <f ca="1">IFERROR(VLOOKUP(ROWS($H$3:H478),E:F,2,0),"")</f>
        <v/>
      </c>
    </row>
    <row r="479" spans="1:8" x14ac:dyDescent="0.25">
      <c r="A479" s="54">
        <v>2010203300</v>
      </c>
      <c r="B479" s="54">
        <v>20102033</v>
      </c>
      <c r="C479" s="54">
        <f>RIGHT(Table1[[#This Row],[UACS]],2)*1</f>
        <v>0</v>
      </c>
      <c r="D479" s="54">
        <v>20102033</v>
      </c>
      <c r="E479" s="54">
        <f ca="1">IF(ISNUMBER(SEARCH($I$1,F479)),MAX($E$2:E478)+1,0)</f>
        <v>0</v>
      </c>
      <c r="F479" s="56" t="s">
        <v>555</v>
      </c>
      <c r="H479" s="55" t="str">
        <f ca="1">IFERROR(VLOOKUP(ROWS($H$3:H479),E:F,2,0),"")</f>
        <v/>
      </c>
    </row>
    <row r="480" spans="1:8" x14ac:dyDescent="0.25">
      <c r="A480" s="54">
        <v>2010204000</v>
      </c>
      <c r="B480" s="54">
        <v>20102040</v>
      </c>
      <c r="C480" s="54">
        <f>RIGHT(Table1[[#This Row],[UACS]],2)*1</f>
        <v>0</v>
      </c>
      <c r="D480" s="54">
        <v>20102040</v>
      </c>
      <c r="E480" s="54">
        <f ca="1">IF(ISNUMBER(SEARCH($I$1,F480)),MAX($E$2:E479)+1,0)</f>
        <v>0</v>
      </c>
      <c r="F480" s="56" t="s">
        <v>556</v>
      </c>
      <c r="H480" s="55" t="str">
        <f ca="1">IFERROR(VLOOKUP(ROWS($H$3:H480),E:F,2,0),"")</f>
        <v/>
      </c>
    </row>
    <row r="481" spans="1:8" x14ac:dyDescent="0.25">
      <c r="A481" s="54">
        <v>2010205000</v>
      </c>
      <c r="B481" s="54">
        <v>20102050</v>
      </c>
      <c r="C481" s="54">
        <f>RIGHT(Table1[[#This Row],[UACS]],2)*1</f>
        <v>0</v>
      </c>
      <c r="D481" s="54">
        <v>20102050</v>
      </c>
      <c r="E481" s="54">
        <f ca="1">IF(ISNUMBER(SEARCH($I$1,F481)),MAX($E$2:E480)+1,0)</f>
        <v>0</v>
      </c>
      <c r="F481" s="56" t="s">
        <v>557</v>
      </c>
      <c r="H481" s="55" t="str">
        <f ca="1">IFERROR(VLOOKUP(ROWS($H$3:H481),E:F,2,0),"")</f>
        <v/>
      </c>
    </row>
    <row r="482" spans="1:8" x14ac:dyDescent="0.25">
      <c r="A482" s="54">
        <v>2010301000</v>
      </c>
      <c r="B482" s="54">
        <v>20103010</v>
      </c>
      <c r="C482" s="54">
        <f>RIGHT(Table1[[#This Row],[UACS]],2)*1</f>
        <v>0</v>
      </c>
      <c r="D482" s="54">
        <v>20103010</v>
      </c>
      <c r="E482" s="54">
        <f ca="1">IF(ISNUMBER(SEARCH($I$1,F482)),MAX($E$2:E481)+1,0)</f>
        <v>0</v>
      </c>
      <c r="F482" s="56" t="s">
        <v>558</v>
      </c>
      <c r="H482" s="55" t="str">
        <f ca="1">IFERROR(VLOOKUP(ROWS($H$3:H482),E:F,2,0),"")</f>
        <v/>
      </c>
    </row>
    <row r="483" spans="1:8" x14ac:dyDescent="0.25">
      <c r="A483" s="54">
        <v>2020101000</v>
      </c>
      <c r="B483" s="54">
        <v>20201010</v>
      </c>
      <c r="C483" s="54">
        <f>RIGHT(Table1[[#This Row],[UACS]],2)*1</f>
        <v>0</v>
      </c>
      <c r="D483" s="54">
        <v>20201010</v>
      </c>
      <c r="E483" s="54">
        <f ca="1">IF(ISNUMBER(SEARCH($I$1,F483)),MAX($E$2:E482)+1,0)</f>
        <v>0</v>
      </c>
      <c r="F483" s="56" t="s">
        <v>559</v>
      </c>
      <c r="H483" s="55" t="str">
        <f ca="1">IFERROR(VLOOKUP(ROWS($H$3:H483),E:F,2,0),"")</f>
        <v/>
      </c>
    </row>
    <row r="484" spans="1:8" x14ac:dyDescent="0.25">
      <c r="A484" s="54">
        <v>2020102001</v>
      </c>
      <c r="B484" s="54">
        <v>20201020</v>
      </c>
      <c r="C484" s="54">
        <f>RIGHT(Table1[[#This Row],[UACS]],2)*1</f>
        <v>1</v>
      </c>
      <c r="D484" s="54">
        <v>20201020</v>
      </c>
      <c r="E484" s="54">
        <f ca="1">IF(ISNUMBER(SEARCH($I$1,F484)),MAX($E$2:E483)+1,0)</f>
        <v>0</v>
      </c>
      <c r="F484" s="56" t="s">
        <v>560</v>
      </c>
      <c r="H484" s="55" t="str">
        <f ca="1">IFERROR(VLOOKUP(ROWS($H$3:H484),E:F,2,0),"")</f>
        <v/>
      </c>
    </row>
    <row r="485" spans="1:8" x14ac:dyDescent="0.25">
      <c r="A485" s="54">
        <v>2020102002</v>
      </c>
      <c r="B485" s="54">
        <v>20201020</v>
      </c>
      <c r="C485" s="54">
        <f>RIGHT(Table1[[#This Row],[UACS]],2)*1</f>
        <v>2</v>
      </c>
      <c r="D485" s="54">
        <v>20201020</v>
      </c>
      <c r="E485" s="54">
        <f ca="1">IF(ISNUMBER(SEARCH($I$1,F485)),MAX($E$2:E484)+1,0)</f>
        <v>0</v>
      </c>
      <c r="F485" s="56" t="s">
        <v>561</v>
      </c>
      <c r="H485" s="55" t="str">
        <f ca="1">IFERROR(VLOOKUP(ROWS($H$3:H485),E:F,2,0),"")</f>
        <v/>
      </c>
    </row>
    <row r="486" spans="1:8" x14ac:dyDescent="0.25">
      <c r="A486" s="54">
        <v>2020102003</v>
      </c>
      <c r="B486" s="54">
        <v>20201020</v>
      </c>
      <c r="C486" s="54">
        <f>RIGHT(Table1[[#This Row],[UACS]],2)*1</f>
        <v>3</v>
      </c>
      <c r="D486" s="54">
        <v>20201020</v>
      </c>
      <c r="E486" s="54">
        <f ca="1">IF(ISNUMBER(SEARCH($I$1,F486)),MAX($E$2:E485)+1,0)</f>
        <v>0</v>
      </c>
      <c r="F486" s="56" t="s">
        <v>562</v>
      </c>
      <c r="H486" s="55" t="str">
        <f ca="1">IFERROR(VLOOKUP(ROWS($H$3:H486),E:F,2,0),"")</f>
        <v/>
      </c>
    </row>
    <row r="487" spans="1:8" x14ac:dyDescent="0.25">
      <c r="A487" s="54">
        <v>2020102004</v>
      </c>
      <c r="B487" s="54">
        <v>20201020</v>
      </c>
      <c r="C487" s="54">
        <f>RIGHT(Table1[[#This Row],[UACS]],2)*1</f>
        <v>4</v>
      </c>
      <c r="D487" s="54">
        <v>20201020</v>
      </c>
      <c r="E487" s="54">
        <f ca="1">IF(ISNUMBER(SEARCH($I$1,F487)),MAX($E$2:E486)+1,0)</f>
        <v>0</v>
      </c>
      <c r="F487" s="56" t="s">
        <v>563</v>
      </c>
      <c r="H487" s="55" t="str">
        <f ca="1">IFERROR(VLOOKUP(ROWS($H$3:H487),E:F,2,0),"")</f>
        <v/>
      </c>
    </row>
    <row r="488" spans="1:8" x14ac:dyDescent="0.25">
      <c r="A488" s="54">
        <v>2020103001</v>
      </c>
      <c r="B488" s="54">
        <v>20201030</v>
      </c>
      <c r="C488" s="54">
        <f>RIGHT(Table1[[#This Row],[UACS]],2)*1</f>
        <v>1</v>
      </c>
      <c r="D488" s="54">
        <v>20201030</v>
      </c>
      <c r="E488" s="54">
        <f ca="1">IF(ISNUMBER(SEARCH($I$1,F488)),MAX($E$2:E487)+1,0)</f>
        <v>0</v>
      </c>
      <c r="F488" s="56" t="s">
        <v>564</v>
      </c>
      <c r="H488" s="55" t="str">
        <f ca="1">IFERROR(VLOOKUP(ROWS($H$3:H488),E:F,2,0),"")</f>
        <v/>
      </c>
    </row>
    <row r="489" spans="1:8" x14ac:dyDescent="0.25">
      <c r="A489" s="54">
        <v>2020103002</v>
      </c>
      <c r="B489" s="54">
        <v>20201030</v>
      </c>
      <c r="C489" s="54">
        <f>RIGHT(Table1[[#This Row],[UACS]],2)*1</f>
        <v>2</v>
      </c>
      <c r="D489" s="54">
        <v>20201030</v>
      </c>
      <c r="E489" s="54">
        <f ca="1">IF(ISNUMBER(SEARCH($I$1,F489)),MAX($E$2:E488)+1,0)</f>
        <v>0</v>
      </c>
      <c r="F489" s="56" t="s">
        <v>565</v>
      </c>
      <c r="H489" s="55" t="str">
        <f ca="1">IFERROR(VLOOKUP(ROWS($H$3:H489),E:F,2,0),"")</f>
        <v/>
      </c>
    </row>
    <row r="490" spans="1:8" x14ac:dyDescent="0.25">
      <c r="A490" s="54">
        <v>2020103003</v>
      </c>
      <c r="B490" s="54">
        <v>20201030</v>
      </c>
      <c r="C490" s="54">
        <f>RIGHT(Table1[[#This Row],[UACS]],2)*1</f>
        <v>3</v>
      </c>
      <c r="D490" s="54">
        <v>20201030</v>
      </c>
      <c r="E490" s="54">
        <f ca="1">IF(ISNUMBER(SEARCH($I$1,F490)),MAX($E$2:E489)+1,0)</f>
        <v>0</v>
      </c>
      <c r="F490" s="56" t="s">
        <v>566</v>
      </c>
      <c r="H490" s="55" t="str">
        <f ca="1">IFERROR(VLOOKUP(ROWS($H$3:H490),E:F,2,0),"")</f>
        <v/>
      </c>
    </row>
    <row r="491" spans="1:8" x14ac:dyDescent="0.25">
      <c r="A491" s="54">
        <v>2020104000</v>
      </c>
      <c r="B491" s="54">
        <v>20201040</v>
      </c>
      <c r="C491" s="54">
        <f>RIGHT(Table1[[#This Row],[UACS]],2)*1</f>
        <v>0</v>
      </c>
      <c r="D491" s="54">
        <v>20201040</v>
      </c>
      <c r="E491" s="54">
        <f ca="1">IF(ISNUMBER(SEARCH($I$1,F491)),MAX($E$2:E490)+1,0)</f>
        <v>0</v>
      </c>
      <c r="F491" s="56" t="s">
        <v>567</v>
      </c>
      <c r="H491" s="55" t="str">
        <f ca="1">IFERROR(VLOOKUP(ROWS($H$3:H491),E:F,2,0),"")</f>
        <v/>
      </c>
    </row>
    <row r="492" spans="1:8" x14ac:dyDescent="0.25">
      <c r="A492" s="54">
        <v>2020105000</v>
      </c>
      <c r="B492" s="54">
        <v>20201050</v>
      </c>
      <c r="C492" s="54">
        <f>RIGHT(Table1[[#This Row],[UACS]],2)*1</f>
        <v>0</v>
      </c>
      <c r="D492" s="54">
        <v>20201050</v>
      </c>
      <c r="E492" s="54">
        <f ca="1">IF(ISNUMBER(SEARCH($I$1,F492)),MAX($E$2:E491)+1,0)</f>
        <v>0</v>
      </c>
      <c r="F492" s="56" t="s">
        <v>568</v>
      </c>
      <c r="H492" s="55" t="str">
        <f ca="1">IFERROR(VLOOKUP(ROWS($H$3:H492),E:F,2,0),"")</f>
        <v/>
      </c>
    </row>
    <row r="493" spans="1:8" x14ac:dyDescent="0.25">
      <c r="A493" s="54">
        <v>2020106000</v>
      </c>
      <c r="B493" s="54">
        <v>20201060</v>
      </c>
      <c r="C493" s="54">
        <f>RIGHT(Table1[[#This Row],[UACS]],2)*1</f>
        <v>0</v>
      </c>
      <c r="D493" s="54">
        <v>20201060</v>
      </c>
      <c r="E493" s="54">
        <f ca="1">IF(ISNUMBER(SEARCH($I$1,F493)),MAX($E$2:E492)+1,0)</f>
        <v>0</v>
      </c>
      <c r="F493" s="56" t="s">
        <v>569</v>
      </c>
      <c r="H493" s="55" t="str">
        <f ca="1">IFERROR(VLOOKUP(ROWS($H$3:H493),E:F,2,0),"")</f>
        <v/>
      </c>
    </row>
    <row r="494" spans="1:8" x14ac:dyDescent="0.25">
      <c r="A494" s="54">
        <v>2020107000</v>
      </c>
      <c r="B494" s="54">
        <v>20201070</v>
      </c>
      <c r="C494" s="54">
        <f>RIGHT(Table1[[#This Row],[UACS]],2)*1</f>
        <v>0</v>
      </c>
      <c r="D494" s="54">
        <v>20201070</v>
      </c>
      <c r="E494" s="54">
        <f ca="1">IF(ISNUMBER(SEARCH($I$1,F494)),MAX($E$2:E493)+1,0)</f>
        <v>0</v>
      </c>
      <c r="F494" s="56" t="s">
        <v>570</v>
      </c>
      <c r="H494" s="55" t="str">
        <f ca="1">IFERROR(VLOOKUP(ROWS($H$3:H494),E:F,2,0),"")</f>
        <v/>
      </c>
    </row>
    <row r="495" spans="1:8" x14ac:dyDescent="0.25">
      <c r="A495" s="54">
        <v>2020108000</v>
      </c>
      <c r="B495" s="54">
        <v>20201080</v>
      </c>
      <c r="C495" s="54">
        <f>RIGHT(Table1[[#This Row],[UACS]],2)*1</f>
        <v>0</v>
      </c>
      <c r="D495" s="54">
        <v>20201080</v>
      </c>
      <c r="E495" s="54">
        <f ca="1">IF(ISNUMBER(SEARCH($I$1,F495)),MAX($E$2:E494)+1,0)</f>
        <v>0</v>
      </c>
      <c r="F495" s="56" t="s">
        <v>571</v>
      </c>
      <c r="H495" s="55" t="str">
        <f ca="1">IFERROR(VLOOKUP(ROWS($H$3:H495),E:F,2,0),"")</f>
        <v/>
      </c>
    </row>
    <row r="496" spans="1:8" x14ac:dyDescent="0.25">
      <c r="A496" s="54">
        <v>2030101000</v>
      </c>
      <c r="B496" s="54">
        <v>20301010</v>
      </c>
      <c r="C496" s="54">
        <f>RIGHT(Table1[[#This Row],[UACS]],2)*1</f>
        <v>0</v>
      </c>
      <c r="D496" s="54">
        <v>20301010</v>
      </c>
      <c r="E496" s="54">
        <f ca="1">IF(ISNUMBER(SEARCH($I$1,F496)),MAX($E$2:E495)+1,0)</f>
        <v>0</v>
      </c>
      <c r="F496" s="56" t="s">
        <v>572</v>
      </c>
      <c r="H496" s="55" t="str">
        <f ca="1">IFERROR(VLOOKUP(ROWS($H$3:H496),E:F,2,0),"")</f>
        <v/>
      </c>
    </row>
    <row r="497" spans="1:8" x14ac:dyDescent="0.25">
      <c r="A497" s="54">
        <v>2030102000</v>
      </c>
      <c r="B497" s="54">
        <v>20301020</v>
      </c>
      <c r="C497" s="54">
        <f>RIGHT(Table1[[#This Row],[UACS]],2)*1</f>
        <v>0</v>
      </c>
      <c r="D497" s="54">
        <v>20301020</v>
      </c>
      <c r="E497" s="54">
        <f ca="1">IF(ISNUMBER(SEARCH($I$1,F497)),MAX($E$2:E496)+1,0)</f>
        <v>0</v>
      </c>
      <c r="F497" s="56" t="s">
        <v>573</v>
      </c>
      <c r="H497" s="55" t="str">
        <f ca="1">IFERROR(VLOOKUP(ROWS($H$3:H497),E:F,2,0),"")</f>
        <v/>
      </c>
    </row>
    <row r="498" spans="1:8" x14ac:dyDescent="0.25">
      <c r="A498" s="54">
        <v>2030103000</v>
      </c>
      <c r="B498" s="54">
        <v>20301030</v>
      </c>
      <c r="C498" s="54">
        <f>RIGHT(Table1[[#This Row],[UACS]],2)*1</f>
        <v>0</v>
      </c>
      <c r="D498" s="54">
        <v>20301030</v>
      </c>
      <c r="E498" s="54">
        <f ca="1">IF(ISNUMBER(SEARCH($I$1,F498)),MAX($E$2:E497)+1,0)</f>
        <v>0</v>
      </c>
      <c r="F498" s="56" t="s">
        <v>574</v>
      </c>
      <c r="H498" s="55" t="str">
        <f ca="1">IFERROR(VLOOKUP(ROWS($H$3:H498),E:F,2,0),"")</f>
        <v/>
      </c>
    </row>
    <row r="499" spans="1:8" x14ac:dyDescent="0.25">
      <c r="A499" s="54">
        <v>2030104000</v>
      </c>
      <c r="B499" s="54">
        <v>20301040</v>
      </c>
      <c r="C499" s="54">
        <f>RIGHT(Table1[[#This Row],[UACS]],2)*1</f>
        <v>0</v>
      </c>
      <c r="D499" s="54">
        <v>20301040</v>
      </c>
      <c r="E499" s="54">
        <f ca="1">IF(ISNUMBER(SEARCH($I$1,F499)),MAX($E$2:E498)+1,0)</f>
        <v>0</v>
      </c>
      <c r="F499" s="56" t="s">
        <v>575</v>
      </c>
      <c r="H499" s="55" t="str">
        <f ca="1">IFERROR(VLOOKUP(ROWS($H$3:H499),E:F,2,0),"")</f>
        <v/>
      </c>
    </row>
    <row r="500" spans="1:8" x14ac:dyDescent="0.25">
      <c r="A500" s="54">
        <v>2030105000</v>
      </c>
      <c r="B500" s="54">
        <v>20301050</v>
      </c>
      <c r="C500" s="54">
        <f>RIGHT(Table1[[#This Row],[UACS]],2)*1</f>
        <v>0</v>
      </c>
      <c r="D500" s="54">
        <v>20301050</v>
      </c>
      <c r="E500" s="54">
        <f ca="1">IF(ISNUMBER(SEARCH($I$1,F500)),MAX($E$2:E499)+1,0)</f>
        <v>0</v>
      </c>
      <c r="F500" s="56" t="s">
        <v>576</v>
      </c>
      <c r="H500" s="55" t="str">
        <f ca="1">IFERROR(VLOOKUP(ROWS($H$3:H500),E:F,2,0),"")</f>
        <v/>
      </c>
    </row>
    <row r="501" spans="1:8" x14ac:dyDescent="0.25">
      <c r="A501" s="54">
        <v>2040101000</v>
      </c>
      <c r="B501" s="54">
        <v>20401010</v>
      </c>
      <c r="C501" s="54">
        <f>RIGHT(Table1[[#This Row],[UACS]],2)*1</f>
        <v>0</v>
      </c>
      <c r="D501" s="54">
        <v>20401010</v>
      </c>
      <c r="E501" s="54">
        <f ca="1">IF(ISNUMBER(SEARCH($I$1,F501)),MAX($E$2:E500)+1,0)</f>
        <v>0</v>
      </c>
      <c r="F501" s="56" t="s">
        <v>577</v>
      </c>
      <c r="H501" s="55" t="str">
        <f ca="1">IFERROR(VLOOKUP(ROWS($H$3:H501),E:F,2,0),"")</f>
        <v/>
      </c>
    </row>
    <row r="502" spans="1:8" x14ac:dyDescent="0.25">
      <c r="A502" s="54">
        <v>2040102000</v>
      </c>
      <c r="B502" s="54">
        <v>20401020</v>
      </c>
      <c r="C502" s="54">
        <f>RIGHT(Table1[[#This Row],[UACS]],2)*1</f>
        <v>0</v>
      </c>
      <c r="D502" s="54">
        <v>20401020</v>
      </c>
      <c r="E502" s="54">
        <f ca="1">IF(ISNUMBER(SEARCH($I$1,F502)),MAX($E$2:E501)+1,0)</f>
        <v>0</v>
      </c>
      <c r="F502" s="56" t="s">
        <v>578</v>
      </c>
      <c r="H502" s="55" t="str">
        <f ca="1">IFERROR(VLOOKUP(ROWS($H$3:H502),E:F,2,0),"")</f>
        <v/>
      </c>
    </row>
    <row r="503" spans="1:8" x14ac:dyDescent="0.25">
      <c r="A503" s="54">
        <v>2040103000</v>
      </c>
      <c r="B503" s="54">
        <v>20401030</v>
      </c>
      <c r="C503" s="54">
        <f>RIGHT(Table1[[#This Row],[UACS]],2)*1</f>
        <v>0</v>
      </c>
      <c r="D503" s="54">
        <v>20401030</v>
      </c>
      <c r="E503" s="54">
        <f ca="1">IF(ISNUMBER(SEARCH($I$1,F503)),MAX($E$2:E502)+1,0)</f>
        <v>0</v>
      </c>
      <c r="F503" s="56" t="s">
        <v>579</v>
      </c>
      <c r="H503" s="55" t="str">
        <f ca="1">IFERROR(VLOOKUP(ROWS($H$3:H503),E:F,2,0),"")</f>
        <v/>
      </c>
    </row>
    <row r="504" spans="1:8" x14ac:dyDescent="0.25">
      <c r="A504" s="54">
        <v>2040104000</v>
      </c>
      <c r="B504" s="54">
        <v>20401040</v>
      </c>
      <c r="C504" s="54">
        <f>RIGHT(Table1[[#This Row],[UACS]],2)*1</f>
        <v>0</v>
      </c>
      <c r="D504" s="54">
        <v>20401040</v>
      </c>
      <c r="E504" s="54">
        <f ca="1">IF(ISNUMBER(SEARCH($I$1,F504)),MAX($E$2:E503)+1,0)</f>
        <v>0</v>
      </c>
      <c r="F504" s="56" t="s">
        <v>580</v>
      </c>
      <c r="H504" s="55" t="str">
        <f ca="1">IFERROR(VLOOKUP(ROWS($H$3:H504),E:F,2,0),"")</f>
        <v/>
      </c>
    </row>
    <row r="505" spans="1:8" x14ac:dyDescent="0.25">
      <c r="A505" s="54">
        <v>2040105000</v>
      </c>
      <c r="B505" s="54">
        <v>20401050</v>
      </c>
      <c r="C505" s="54">
        <f>RIGHT(Table1[[#This Row],[UACS]],2)*1</f>
        <v>0</v>
      </c>
      <c r="D505" s="54">
        <v>20401050</v>
      </c>
      <c r="E505" s="54">
        <f ca="1">IF(ISNUMBER(SEARCH($I$1,F505)),MAX($E$2:E504)+1,0)</f>
        <v>0</v>
      </c>
      <c r="F505" s="56" t="s">
        <v>581</v>
      </c>
      <c r="H505" s="55" t="str">
        <f ca="1">IFERROR(VLOOKUP(ROWS($H$3:H505),E:F,2,0),"")</f>
        <v/>
      </c>
    </row>
    <row r="506" spans="1:8" x14ac:dyDescent="0.25">
      <c r="A506" s="54">
        <v>2050101000</v>
      </c>
      <c r="B506" s="54">
        <v>20501010</v>
      </c>
      <c r="C506" s="54">
        <f>RIGHT(Table1[[#This Row],[UACS]],2)*1</f>
        <v>0</v>
      </c>
      <c r="D506" s="54">
        <v>20501010</v>
      </c>
      <c r="E506" s="54">
        <f ca="1">IF(ISNUMBER(SEARCH($I$1,F506)),MAX($E$2:E505)+1,0)</f>
        <v>0</v>
      </c>
      <c r="F506" s="56" t="s">
        <v>582</v>
      </c>
      <c r="H506" s="55" t="str">
        <f ca="1">IFERROR(VLOOKUP(ROWS($H$3:H506),E:F,2,0),"")</f>
        <v/>
      </c>
    </row>
    <row r="507" spans="1:8" x14ac:dyDescent="0.25">
      <c r="A507" s="54">
        <v>2050102000</v>
      </c>
      <c r="B507" s="54">
        <v>20501020</v>
      </c>
      <c r="C507" s="54">
        <f>RIGHT(Table1[[#This Row],[UACS]],2)*1</f>
        <v>0</v>
      </c>
      <c r="D507" s="54">
        <v>20501020</v>
      </c>
      <c r="E507" s="54">
        <f ca="1">IF(ISNUMBER(SEARCH($I$1,F507)),MAX($E$2:E506)+1,0)</f>
        <v>0</v>
      </c>
      <c r="F507" s="56" t="s">
        <v>583</v>
      </c>
      <c r="H507" s="55" t="str">
        <f ca="1">IFERROR(VLOOKUP(ROWS($H$3:H507),E:F,2,0),"")</f>
        <v/>
      </c>
    </row>
    <row r="508" spans="1:8" x14ac:dyDescent="0.25">
      <c r="A508" s="54">
        <v>2050199000</v>
      </c>
      <c r="B508" s="54">
        <v>20501990</v>
      </c>
      <c r="C508" s="54">
        <f>RIGHT(Table1[[#This Row],[UACS]],2)*1</f>
        <v>0</v>
      </c>
      <c r="D508" s="54">
        <v>20501990</v>
      </c>
      <c r="E508" s="54">
        <f ca="1">IF(ISNUMBER(SEARCH($I$1,F508)),MAX($E$2:E507)+1,0)</f>
        <v>0</v>
      </c>
      <c r="F508" s="56" t="s">
        <v>584</v>
      </c>
      <c r="H508" s="55" t="str">
        <f ca="1">IFERROR(VLOOKUP(ROWS($H$3:H508),E:F,2,0),"")</f>
        <v/>
      </c>
    </row>
    <row r="509" spans="1:8" x14ac:dyDescent="0.25">
      <c r="A509" s="54">
        <v>2050201000</v>
      </c>
      <c r="B509" s="54">
        <v>20502010</v>
      </c>
      <c r="C509" s="54">
        <f>RIGHT(Table1[[#This Row],[UACS]],2)*1</f>
        <v>0</v>
      </c>
      <c r="D509" s="54">
        <v>20502010</v>
      </c>
      <c r="E509" s="54">
        <f ca="1">IF(ISNUMBER(SEARCH($I$1,F509)),MAX($E$2:E508)+1,0)</f>
        <v>0</v>
      </c>
      <c r="F509" s="56" t="s">
        <v>585</v>
      </c>
      <c r="H509" s="55" t="str">
        <f ca="1">IFERROR(VLOOKUP(ROWS($H$3:H509),E:F,2,0),"")</f>
        <v/>
      </c>
    </row>
    <row r="510" spans="1:8" x14ac:dyDescent="0.25">
      <c r="A510" s="54">
        <v>2050299000</v>
      </c>
      <c r="B510" s="54">
        <v>20502990</v>
      </c>
      <c r="C510" s="54">
        <f>RIGHT(Table1[[#This Row],[UACS]],2)*1</f>
        <v>0</v>
      </c>
      <c r="D510" s="54">
        <v>20502990</v>
      </c>
      <c r="E510" s="54">
        <f ca="1">IF(ISNUMBER(SEARCH($I$1,F510)),MAX($E$2:E509)+1,0)</f>
        <v>0</v>
      </c>
      <c r="F510" s="56" t="s">
        <v>586</v>
      </c>
      <c r="H510" s="55" t="str">
        <f ca="1">IFERROR(VLOOKUP(ROWS($H$3:H510),E:F,2,0),"")</f>
        <v/>
      </c>
    </row>
    <row r="511" spans="1:8" x14ac:dyDescent="0.25">
      <c r="A511" s="54">
        <v>2060101000</v>
      </c>
      <c r="B511" s="54">
        <v>20601010</v>
      </c>
      <c r="C511" s="54">
        <f>RIGHT(Table1[[#This Row],[UACS]],2)*1</f>
        <v>0</v>
      </c>
      <c r="D511" s="54">
        <v>20601010</v>
      </c>
      <c r="E511" s="54">
        <f ca="1">IF(ISNUMBER(SEARCH($I$1,F511)),MAX($E$2:E510)+1,0)</f>
        <v>0</v>
      </c>
      <c r="F511" s="56" t="s">
        <v>587</v>
      </c>
      <c r="H511" s="55" t="str">
        <f ca="1">IFERROR(VLOOKUP(ROWS($H$3:H511),E:F,2,0),"")</f>
        <v/>
      </c>
    </row>
    <row r="512" spans="1:8" x14ac:dyDescent="0.25">
      <c r="A512" s="54">
        <v>2060102000</v>
      </c>
      <c r="B512" s="54">
        <v>20601020</v>
      </c>
      <c r="C512" s="54">
        <f>RIGHT(Table1[[#This Row],[UACS]],2)*1</f>
        <v>0</v>
      </c>
      <c r="D512" s="54">
        <v>20601020</v>
      </c>
      <c r="E512" s="54">
        <f ca="1">IF(ISNUMBER(SEARCH($I$1,F512)),MAX($E$2:E511)+1,0)</f>
        <v>0</v>
      </c>
      <c r="F512" s="56" t="s">
        <v>588</v>
      </c>
      <c r="H512" s="55" t="str">
        <f ca="1">IFERROR(VLOOKUP(ROWS($H$3:H512),E:F,2,0),"")</f>
        <v/>
      </c>
    </row>
    <row r="513" spans="1:8" x14ac:dyDescent="0.25">
      <c r="A513" s="54">
        <v>2060103000</v>
      </c>
      <c r="B513" s="54">
        <v>20601030</v>
      </c>
      <c r="C513" s="54">
        <f>RIGHT(Table1[[#This Row],[UACS]],2)*1</f>
        <v>0</v>
      </c>
      <c r="D513" s="54">
        <v>20601030</v>
      </c>
      <c r="E513" s="54">
        <f ca="1">IF(ISNUMBER(SEARCH($I$1,F513)),MAX($E$2:E512)+1,0)</f>
        <v>0</v>
      </c>
      <c r="F513" s="56" t="s">
        <v>589</v>
      </c>
      <c r="H513" s="55" t="str">
        <f ca="1">IFERROR(VLOOKUP(ROWS($H$3:H513),E:F,2,0),"")</f>
        <v/>
      </c>
    </row>
    <row r="514" spans="1:8" x14ac:dyDescent="0.25">
      <c r="A514" s="54">
        <v>2060199000</v>
      </c>
      <c r="B514" s="54">
        <v>20601990</v>
      </c>
      <c r="C514" s="54">
        <f>RIGHT(Table1[[#This Row],[UACS]],2)*1</f>
        <v>0</v>
      </c>
      <c r="D514" s="54">
        <v>20601990</v>
      </c>
      <c r="E514" s="54">
        <f ca="1">IF(ISNUMBER(SEARCH($I$1,F514)),MAX($E$2:E513)+1,0)</f>
        <v>0</v>
      </c>
      <c r="F514" s="56" t="s">
        <v>590</v>
      </c>
      <c r="H514" s="55" t="str">
        <f ca="1">IFERROR(VLOOKUP(ROWS($H$3:H514),E:F,2,0),"")</f>
        <v/>
      </c>
    </row>
    <row r="515" spans="1:8" x14ac:dyDescent="0.25">
      <c r="A515" s="54">
        <v>2999999000</v>
      </c>
      <c r="B515" s="54">
        <v>29999990</v>
      </c>
      <c r="C515" s="54">
        <f>RIGHT(Table1[[#This Row],[UACS]],2)*1</f>
        <v>0</v>
      </c>
      <c r="D515" s="54">
        <v>29999990</v>
      </c>
      <c r="E515" s="54">
        <f ca="1">IF(ISNUMBER(SEARCH($I$1,F515)),MAX($E$2:E514)+1,0)</f>
        <v>0</v>
      </c>
      <c r="F515" s="56" t="s">
        <v>591</v>
      </c>
      <c r="H515" s="55" t="str">
        <f ca="1">IFERROR(VLOOKUP(ROWS($H$3:H515),E:F,2,0),"")</f>
        <v/>
      </c>
    </row>
    <row r="516" spans="1:8" x14ac:dyDescent="0.25">
      <c r="A516" s="54">
        <v>3010101000</v>
      </c>
      <c r="B516" s="54">
        <v>30101010</v>
      </c>
      <c r="C516" s="54">
        <f>RIGHT(Table1[[#This Row],[UACS]],2)*1</f>
        <v>0</v>
      </c>
      <c r="D516" s="54">
        <v>30101010</v>
      </c>
      <c r="E516" s="54">
        <f ca="1">IF(ISNUMBER(SEARCH($I$1,F516)),MAX($E$2:E515)+1,0)</f>
        <v>0</v>
      </c>
      <c r="F516" s="56" t="s">
        <v>592</v>
      </c>
      <c r="H516" s="55" t="str">
        <f ca="1">IFERROR(VLOOKUP(ROWS($H$3:H516),E:F,2,0),"")</f>
        <v/>
      </c>
    </row>
    <row r="517" spans="1:8" x14ac:dyDescent="0.25">
      <c r="A517" s="54">
        <v>3010103000</v>
      </c>
      <c r="B517" s="54">
        <v>30101030</v>
      </c>
      <c r="C517" s="54">
        <f>RIGHT(Table1[[#This Row],[UACS]],2)*1</f>
        <v>0</v>
      </c>
      <c r="D517" s="54">
        <v>30101030</v>
      </c>
      <c r="E517" s="54">
        <f ca="1">IF(ISNUMBER(SEARCH($I$1,F517)),MAX($E$2:E516)+1,0)</f>
        <v>0</v>
      </c>
      <c r="F517" s="56" t="s">
        <v>593</v>
      </c>
      <c r="H517" s="55" t="str">
        <f ca="1">IFERROR(VLOOKUP(ROWS($H$3:H517),E:F,2,0),"")</f>
        <v/>
      </c>
    </row>
    <row r="518" spans="1:8" x14ac:dyDescent="0.25">
      <c r="A518" s="54">
        <v>3020101000</v>
      </c>
      <c r="B518" s="54">
        <v>30201010</v>
      </c>
      <c r="C518" s="54">
        <f>RIGHT(Table1[[#This Row],[UACS]],2)*1</f>
        <v>0</v>
      </c>
      <c r="D518" s="54">
        <v>30201010</v>
      </c>
      <c r="E518" s="54">
        <f ca="1">IF(ISNUMBER(SEARCH($I$1,F518)),MAX($E$2:E517)+1,0)</f>
        <v>0</v>
      </c>
      <c r="F518" s="56" t="s">
        <v>594</v>
      </c>
      <c r="H518" s="55" t="str">
        <f ca="1">IFERROR(VLOOKUP(ROWS($H$3:H518),E:F,2,0),"")</f>
        <v/>
      </c>
    </row>
    <row r="519" spans="1:8" x14ac:dyDescent="0.25">
      <c r="A519" s="54">
        <v>3030101000</v>
      </c>
      <c r="B519" s="54">
        <v>30301010</v>
      </c>
      <c r="C519" s="54">
        <f>RIGHT(Table1[[#This Row],[UACS]],2)*1</f>
        <v>0</v>
      </c>
      <c r="D519" s="54">
        <v>30301010</v>
      </c>
      <c r="E519" s="54">
        <f ca="1">IF(ISNUMBER(SEARCH($I$1,F519)),MAX($E$2:E518)+1,0)</f>
        <v>0</v>
      </c>
      <c r="F519" s="56" t="s">
        <v>595</v>
      </c>
      <c r="H519" s="55" t="str">
        <f ca="1">IFERROR(VLOOKUP(ROWS($H$3:H519),E:F,2,0),"")</f>
        <v/>
      </c>
    </row>
    <row r="520" spans="1:8" x14ac:dyDescent="0.25">
      <c r="A520" s="54">
        <v>3040101000</v>
      </c>
      <c r="B520" s="54">
        <v>30401010</v>
      </c>
      <c r="C520" s="54">
        <f>RIGHT(Table1[[#This Row],[UACS]],2)*1</f>
        <v>0</v>
      </c>
      <c r="D520" s="54">
        <v>30401010</v>
      </c>
      <c r="E520" s="54">
        <f ca="1">IF(ISNUMBER(SEARCH($I$1,F520)),MAX($E$2:E519)+1,0)</f>
        <v>0</v>
      </c>
      <c r="F520" s="56" t="s">
        <v>596</v>
      </c>
      <c r="H520" s="55" t="str">
        <f ca="1">IFERROR(VLOOKUP(ROWS($H$3:H520),E:F,2,0),"")</f>
        <v/>
      </c>
    </row>
    <row r="521" spans="1:8" x14ac:dyDescent="0.25">
      <c r="A521" s="54">
        <v>3050101000</v>
      </c>
      <c r="B521" s="54">
        <v>30501010</v>
      </c>
      <c r="C521" s="54">
        <f>RIGHT(Table1[[#This Row],[UACS]],2)*1</f>
        <v>0</v>
      </c>
      <c r="D521" s="54">
        <v>30501010</v>
      </c>
      <c r="E521" s="54">
        <f ca="1">IF(ISNUMBER(SEARCH($I$1,F521)),MAX($E$2:E520)+1,0)</f>
        <v>0</v>
      </c>
      <c r="F521" s="56" t="s">
        <v>597</v>
      </c>
      <c r="H521" s="55" t="str">
        <f ca="1">IFERROR(VLOOKUP(ROWS($H$3:H521),E:F,2,0),"")</f>
        <v/>
      </c>
    </row>
    <row r="522" spans="1:8" x14ac:dyDescent="0.25">
      <c r="A522" s="54">
        <v>4010101001</v>
      </c>
      <c r="B522" s="54">
        <v>40101010</v>
      </c>
      <c r="C522" s="54">
        <f>RIGHT(Table1[[#This Row],[UACS]],2)*1</f>
        <v>1</v>
      </c>
      <c r="D522" s="54">
        <v>40101010</v>
      </c>
      <c r="E522" s="54">
        <f ca="1">IF(ISNUMBER(SEARCH($I$1,F522)),MAX($E$2:E521)+1,0)</f>
        <v>0</v>
      </c>
      <c r="F522" s="56" t="s">
        <v>598</v>
      </c>
      <c r="H522" s="55" t="str">
        <f ca="1">IFERROR(VLOOKUP(ROWS($H$3:H522),E:F,2,0),"")</f>
        <v/>
      </c>
    </row>
    <row r="523" spans="1:8" x14ac:dyDescent="0.25">
      <c r="A523" s="54">
        <v>4010101002</v>
      </c>
      <c r="B523" s="54">
        <v>40101010</v>
      </c>
      <c r="C523" s="54">
        <f>RIGHT(Table1[[#This Row],[UACS]],2)*1</f>
        <v>2</v>
      </c>
      <c r="D523" s="54">
        <v>40101010</v>
      </c>
      <c r="E523" s="54">
        <f ca="1">IF(ISNUMBER(SEARCH($I$1,F523)),MAX($E$2:E522)+1,0)</f>
        <v>0</v>
      </c>
      <c r="F523" s="56" t="s">
        <v>599</v>
      </c>
      <c r="H523" s="55" t="str">
        <f ca="1">IFERROR(VLOOKUP(ROWS($H$3:H523),E:F,2,0),"")</f>
        <v/>
      </c>
    </row>
    <row r="524" spans="1:8" x14ac:dyDescent="0.25">
      <c r="A524" s="54">
        <v>4010101003</v>
      </c>
      <c r="B524" s="54">
        <v>40101010</v>
      </c>
      <c r="C524" s="54">
        <f>RIGHT(Table1[[#This Row],[UACS]],2)*1</f>
        <v>3</v>
      </c>
      <c r="D524" s="54">
        <v>40101010</v>
      </c>
      <c r="E524" s="54">
        <f ca="1">IF(ISNUMBER(SEARCH($I$1,F524)),MAX($E$2:E523)+1,0)</f>
        <v>0</v>
      </c>
      <c r="F524" s="56" t="s">
        <v>600</v>
      </c>
      <c r="H524" s="55" t="str">
        <f ca="1">IFERROR(VLOOKUP(ROWS($H$3:H524),E:F,2,0),"")</f>
        <v/>
      </c>
    </row>
    <row r="525" spans="1:8" x14ac:dyDescent="0.25">
      <c r="A525" s="54">
        <v>4010102000</v>
      </c>
      <c r="B525" s="54">
        <v>40101020</v>
      </c>
      <c r="C525" s="54">
        <f>RIGHT(Table1[[#This Row],[UACS]],2)*1</f>
        <v>0</v>
      </c>
      <c r="D525" s="54">
        <v>40101020</v>
      </c>
      <c r="E525" s="54">
        <f ca="1">IF(ISNUMBER(SEARCH($I$1,F525)),MAX($E$2:E524)+1,0)</f>
        <v>0</v>
      </c>
      <c r="F525" s="56" t="s">
        <v>601</v>
      </c>
      <c r="H525" s="55" t="str">
        <f ca="1">IFERROR(VLOOKUP(ROWS($H$3:H525),E:F,2,0),"")</f>
        <v/>
      </c>
    </row>
    <row r="526" spans="1:8" x14ac:dyDescent="0.25">
      <c r="A526" s="54">
        <v>4010103000</v>
      </c>
      <c r="B526" s="54">
        <v>40101030</v>
      </c>
      <c r="C526" s="54">
        <f>RIGHT(Table1[[#This Row],[UACS]],2)*1</f>
        <v>0</v>
      </c>
      <c r="D526" s="54">
        <v>40101030</v>
      </c>
      <c r="E526" s="54">
        <f ca="1">IF(ISNUMBER(SEARCH($I$1,F526)),MAX($E$2:E525)+1,0)</f>
        <v>0</v>
      </c>
      <c r="F526" s="56" t="s">
        <v>602</v>
      </c>
      <c r="H526" s="55" t="str">
        <f ca="1">IFERROR(VLOOKUP(ROWS($H$3:H526),E:F,2,0),"")</f>
        <v/>
      </c>
    </row>
    <row r="527" spans="1:8" x14ac:dyDescent="0.25">
      <c r="A527" s="54">
        <v>4010104000</v>
      </c>
      <c r="B527" s="54">
        <v>40101040</v>
      </c>
      <c r="C527" s="54">
        <f>RIGHT(Table1[[#This Row],[UACS]],2)*1</f>
        <v>0</v>
      </c>
      <c r="D527" s="54">
        <v>40101040</v>
      </c>
      <c r="E527" s="54">
        <f ca="1">IF(ISNUMBER(SEARCH($I$1,F527)),MAX($E$2:E526)+1,0)</f>
        <v>0</v>
      </c>
      <c r="F527" s="56" t="s">
        <v>603</v>
      </c>
      <c r="H527" s="55" t="str">
        <f ca="1">IFERROR(VLOOKUP(ROWS($H$3:H527),E:F,2,0),"")</f>
        <v/>
      </c>
    </row>
    <row r="528" spans="1:8" x14ac:dyDescent="0.25">
      <c r="A528" s="54">
        <v>4010201000</v>
      </c>
      <c r="B528" s="54">
        <v>40102010</v>
      </c>
      <c r="C528" s="54">
        <f>RIGHT(Table1[[#This Row],[UACS]],2)*1</f>
        <v>0</v>
      </c>
      <c r="D528" s="54">
        <v>40102010</v>
      </c>
      <c r="E528" s="54">
        <f ca="1">IF(ISNUMBER(SEARCH($I$1,F528)),MAX($E$2:E527)+1,0)</f>
        <v>0</v>
      </c>
      <c r="F528" s="56" t="s">
        <v>604</v>
      </c>
      <c r="H528" s="55" t="str">
        <f ca="1">IFERROR(VLOOKUP(ROWS($H$3:H528),E:F,2,0),"")</f>
        <v/>
      </c>
    </row>
    <row r="529" spans="1:8" x14ac:dyDescent="0.25">
      <c r="A529" s="54">
        <v>4010202000</v>
      </c>
      <c r="B529" s="54">
        <v>40102020</v>
      </c>
      <c r="C529" s="54">
        <f>RIGHT(Table1[[#This Row],[UACS]],2)*1</f>
        <v>0</v>
      </c>
      <c r="D529" s="54">
        <v>40102020</v>
      </c>
      <c r="E529" s="54">
        <f ca="1">IF(ISNUMBER(SEARCH($I$1,F529)),MAX($E$2:E528)+1,0)</f>
        <v>0</v>
      </c>
      <c r="F529" s="56" t="s">
        <v>605</v>
      </c>
      <c r="H529" s="55" t="str">
        <f ca="1">IFERROR(VLOOKUP(ROWS($H$3:H529),E:F,2,0),"")</f>
        <v/>
      </c>
    </row>
    <row r="530" spans="1:8" x14ac:dyDescent="0.25">
      <c r="A530" s="54">
        <v>4010203001</v>
      </c>
      <c r="B530" s="54">
        <v>40102030</v>
      </c>
      <c r="C530" s="54">
        <f>RIGHT(Table1[[#This Row],[UACS]],2)*1</f>
        <v>1</v>
      </c>
      <c r="D530" s="54">
        <v>40102030</v>
      </c>
      <c r="E530" s="54">
        <f ca="1">IF(ISNUMBER(SEARCH($I$1,F530)),MAX($E$2:E529)+1,0)</f>
        <v>0</v>
      </c>
      <c r="F530" s="56" t="s">
        <v>606</v>
      </c>
      <c r="H530" s="55" t="str">
        <f ca="1">IFERROR(VLOOKUP(ROWS($H$3:H530),E:F,2,0),"")</f>
        <v/>
      </c>
    </row>
    <row r="531" spans="1:8" x14ac:dyDescent="0.25">
      <c r="A531" s="54">
        <v>4010203002</v>
      </c>
      <c r="B531" s="54">
        <v>40102030</v>
      </c>
      <c r="C531" s="54">
        <f>RIGHT(Table1[[#This Row],[UACS]],2)*1</f>
        <v>2</v>
      </c>
      <c r="D531" s="54">
        <v>40102030</v>
      </c>
      <c r="E531" s="54">
        <f ca="1">IF(ISNUMBER(SEARCH($I$1,F531)),MAX($E$2:E530)+1,0)</f>
        <v>0</v>
      </c>
      <c r="F531" s="56" t="s">
        <v>607</v>
      </c>
      <c r="H531" s="55" t="str">
        <f ca="1">IFERROR(VLOOKUP(ROWS($H$3:H531),E:F,2,0),"")</f>
        <v/>
      </c>
    </row>
    <row r="532" spans="1:8" x14ac:dyDescent="0.25">
      <c r="A532" s="54">
        <v>4010301001</v>
      </c>
      <c r="B532" s="54">
        <v>40103010</v>
      </c>
      <c r="C532" s="54">
        <f>RIGHT(Table1[[#This Row],[UACS]],2)*1</f>
        <v>1</v>
      </c>
      <c r="D532" s="54">
        <v>40103010</v>
      </c>
      <c r="E532" s="54">
        <f ca="1">IF(ISNUMBER(SEARCH($I$1,F532)),MAX($E$2:E531)+1,0)</f>
        <v>0</v>
      </c>
      <c r="F532" s="56" t="s">
        <v>608</v>
      </c>
      <c r="H532" s="55" t="str">
        <f ca="1">IFERROR(VLOOKUP(ROWS($H$3:H532),E:F,2,0),"")</f>
        <v/>
      </c>
    </row>
    <row r="533" spans="1:8" x14ac:dyDescent="0.25">
      <c r="A533" s="54">
        <v>4010301002</v>
      </c>
      <c r="B533" s="54">
        <v>40103010</v>
      </c>
      <c r="C533" s="54">
        <f>RIGHT(Table1[[#This Row],[UACS]],2)*1</f>
        <v>2</v>
      </c>
      <c r="D533" s="54">
        <v>40103010</v>
      </c>
      <c r="E533" s="54">
        <f ca="1">IF(ISNUMBER(SEARCH($I$1,F533)),MAX($E$2:E532)+1,0)</f>
        <v>0</v>
      </c>
      <c r="F533" s="56" t="s">
        <v>609</v>
      </c>
      <c r="H533" s="55" t="str">
        <f ca="1">IFERROR(VLOOKUP(ROWS($H$3:H533),E:F,2,0),"")</f>
        <v/>
      </c>
    </row>
    <row r="534" spans="1:8" x14ac:dyDescent="0.25">
      <c r="A534" s="54">
        <v>4010301003</v>
      </c>
      <c r="B534" s="54">
        <v>40103010</v>
      </c>
      <c r="C534" s="54">
        <f>RIGHT(Table1[[#This Row],[UACS]],2)*1</f>
        <v>3</v>
      </c>
      <c r="D534" s="54">
        <v>40103010</v>
      </c>
      <c r="E534" s="54">
        <f ca="1">IF(ISNUMBER(SEARCH($I$1,F534)),MAX($E$2:E533)+1,0)</f>
        <v>0</v>
      </c>
      <c r="F534" s="56" t="s">
        <v>610</v>
      </c>
      <c r="H534" s="55" t="str">
        <f ca="1">IFERROR(VLOOKUP(ROWS($H$3:H534),E:F,2,0),"")</f>
        <v/>
      </c>
    </row>
    <row r="535" spans="1:8" x14ac:dyDescent="0.25">
      <c r="A535" s="54">
        <v>4010301004</v>
      </c>
      <c r="B535" s="54">
        <v>40103010</v>
      </c>
      <c r="C535" s="54">
        <f>RIGHT(Table1[[#This Row],[UACS]],2)*1</f>
        <v>4</v>
      </c>
      <c r="D535" s="54">
        <v>40103010</v>
      </c>
      <c r="E535" s="54">
        <f ca="1">IF(ISNUMBER(SEARCH($I$1,F535)),MAX($E$2:E534)+1,0)</f>
        <v>0</v>
      </c>
      <c r="F535" s="56" t="s">
        <v>611</v>
      </c>
      <c r="H535" s="55" t="str">
        <f ca="1">IFERROR(VLOOKUP(ROWS($H$3:H535),E:F,2,0),"")</f>
        <v/>
      </c>
    </row>
    <row r="536" spans="1:8" x14ac:dyDescent="0.25">
      <c r="A536" s="54">
        <v>4010301005</v>
      </c>
      <c r="B536" s="54">
        <v>40103010</v>
      </c>
      <c r="C536" s="54">
        <f>RIGHT(Table1[[#This Row],[UACS]],2)*1</f>
        <v>5</v>
      </c>
      <c r="D536" s="54">
        <v>40103010</v>
      </c>
      <c r="E536" s="54">
        <f ca="1">IF(ISNUMBER(SEARCH($I$1,F536)),MAX($E$2:E535)+1,0)</f>
        <v>0</v>
      </c>
      <c r="F536" s="56" t="s">
        <v>612</v>
      </c>
      <c r="H536" s="55" t="str">
        <f ca="1">IFERROR(VLOOKUP(ROWS($H$3:H536),E:F,2,0),"")</f>
        <v/>
      </c>
    </row>
    <row r="537" spans="1:8" x14ac:dyDescent="0.25">
      <c r="A537" s="54">
        <v>4010301006</v>
      </c>
      <c r="B537" s="54">
        <v>40103010</v>
      </c>
      <c r="C537" s="54">
        <f>RIGHT(Table1[[#This Row],[UACS]],2)*1</f>
        <v>6</v>
      </c>
      <c r="D537" s="54">
        <v>40103010</v>
      </c>
      <c r="E537" s="54">
        <f ca="1">IF(ISNUMBER(SEARCH($I$1,F537)),MAX($E$2:E536)+1,0)</f>
        <v>0</v>
      </c>
      <c r="F537" s="56" t="s">
        <v>613</v>
      </c>
      <c r="H537" s="55" t="str">
        <f ca="1">IFERROR(VLOOKUP(ROWS($H$3:H537),E:F,2,0),"")</f>
        <v/>
      </c>
    </row>
    <row r="538" spans="1:8" x14ac:dyDescent="0.25">
      <c r="A538" s="54">
        <v>4010301007</v>
      </c>
      <c r="B538" s="54">
        <v>40103010</v>
      </c>
      <c r="C538" s="54">
        <f>RIGHT(Table1[[#This Row],[UACS]],2)*1</f>
        <v>7</v>
      </c>
      <c r="D538" s="54">
        <v>40103010</v>
      </c>
      <c r="E538" s="54">
        <f ca="1">IF(ISNUMBER(SEARCH($I$1,F538)),MAX($E$2:E537)+1,0)</f>
        <v>0</v>
      </c>
      <c r="F538" s="56" t="s">
        <v>614</v>
      </c>
      <c r="H538" s="55" t="str">
        <f ca="1">IFERROR(VLOOKUP(ROWS($H$3:H538),E:F,2,0),"")</f>
        <v/>
      </c>
    </row>
    <row r="539" spans="1:8" x14ac:dyDescent="0.25">
      <c r="A539" s="54">
        <v>4010301008</v>
      </c>
      <c r="B539" s="54">
        <v>40103010</v>
      </c>
      <c r="C539" s="54">
        <f>RIGHT(Table1[[#This Row],[UACS]],2)*1</f>
        <v>8</v>
      </c>
      <c r="D539" s="54">
        <v>40103010</v>
      </c>
      <c r="E539" s="54">
        <f ca="1">IF(ISNUMBER(SEARCH($I$1,F539)),MAX($E$2:E538)+1,0)</f>
        <v>0</v>
      </c>
      <c r="F539" s="56" t="s">
        <v>615</v>
      </c>
      <c r="H539" s="55" t="str">
        <f ca="1">IFERROR(VLOOKUP(ROWS($H$3:H539),E:F,2,0),"")</f>
        <v/>
      </c>
    </row>
    <row r="540" spans="1:8" x14ac:dyDescent="0.25">
      <c r="A540" s="54">
        <v>4010301009</v>
      </c>
      <c r="B540" s="54">
        <v>40103010</v>
      </c>
      <c r="C540" s="54">
        <f>RIGHT(Table1[[#This Row],[UACS]],2)*1</f>
        <v>9</v>
      </c>
      <c r="D540" s="54">
        <v>40103010</v>
      </c>
      <c r="E540" s="54">
        <f ca="1">IF(ISNUMBER(SEARCH($I$1,F540)),MAX($E$2:E539)+1,0)</f>
        <v>0</v>
      </c>
      <c r="F540" s="56" t="s">
        <v>616</v>
      </c>
      <c r="H540" s="55" t="str">
        <f ca="1">IFERROR(VLOOKUP(ROWS($H$3:H540),E:F,2,0),"")</f>
        <v/>
      </c>
    </row>
    <row r="541" spans="1:8" x14ac:dyDescent="0.25">
      <c r="A541" s="54">
        <v>4010301010</v>
      </c>
      <c r="B541" s="54">
        <v>40103010</v>
      </c>
      <c r="C541" s="54">
        <f>RIGHT(Table1[[#This Row],[UACS]],2)*1</f>
        <v>10</v>
      </c>
      <c r="D541" s="54">
        <v>40103010</v>
      </c>
      <c r="E541" s="54">
        <f ca="1">IF(ISNUMBER(SEARCH($I$1,F541)),MAX($E$2:E540)+1,0)</f>
        <v>0</v>
      </c>
      <c r="F541" s="56" t="s">
        <v>617</v>
      </c>
      <c r="H541" s="55" t="str">
        <f ca="1">IFERROR(VLOOKUP(ROWS($H$3:H541),E:F,2,0),"")</f>
        <v/>
      </c>
    </row>
    <row r="542" spans="1:8" x14ac:dyDescent="0.25">
      <c r="A542" s="54">
        <v>4010301011</v>
      </c>
      <c r="B542" s="54">
        <v>40103010</v>
      </c>
      <c r="C542" s="54">
        <f>RIGHT(Table1[[#This Row],[UACS]],2)*1</f>
        <v>11</v>
      </c>
      <c r="D542" s="54">
        <v>40103010</v>
      </c>
      <c r="E542" s="54">
        <f ca="1">IF(ISNUMBER(SEARCH($I$1,F542)),MAX($E$2:E541)+1,0)</f>
        <v>0</v>
      </c>
      <c r="F542" s="56" t="s">
        <v>618</v>
      </c>
      <c r="H542" s="55" t="str">
        <f ca="1">IFERROR(VLOOKUP(ROWS($H$3:H542),E:F,2,0),"")</f>
        <v/>
      </c>
    </row>
    <row r="543" spans="1:8" x14ac:dyDescent="0.25">
      <c r="A543" s="54">
        <v>4010301012</v>
      </c>
      <c r="B543" s="54">
        <v>40103010</v>
      </c>
      <c r="C543" s="54">
        <f>RIGHT(Table1[[#This Row],[UACS]],2)*1</f>
        <v>12</v>
      </c>
      <c r="D543" s="54">
        <v>40103010</v>
      </c>
      <c r="E543" s="54">
        <f ca="1">IF(ISNUMBER(SEARCH($I$1,F543)),MAX($E$2:E542)+1,0)</f>
        <v>0</v>
      </c>
      <c r="F543" s="56" t="s">
        <v>619</v>
      </c>
      <c r="H543" s="55" t="str">
        <f ca="1">IFERROR(VLOOKUP(ROWS($H$3:H543),E:F,2,0),"")</f>
        <v/>
      </c>
    </row>
    <row r="544" spans="1:8" x14ac:dyDescent="0.25">
      <c r="A544" s="54">
        <v>4010301013</v>
      </c>
      <c r="B544" s="54">
        <v>40103010</v>
      </c>
      <c r="C544" s="54">
        <f>RIGHT(Table1[[#This Row],[UACS]],2)*1</f>
        <v>13</v>
      </c>
      <c r="D544" s="54">
        <v>40103010</v>
      </c>
      <c r="E544" s="54">
        <f ca="1">IF(ISNUMBER(SEARCH($I$1,F544)),MAX($E$2:E543)+1,0)</f>
        <v>0</v>
      </c>
      <c r="F544" s="56" t="s">
        <v>620</v>
      </c>
      <c r="H544" s="55" t="str">
        <f ca="1">IFERROR(VLOOKUP(ROWS($H$3:H544),E:F,2,0),"")</f>
        <v/>
      </c>
    </row>
    <row r="545" spans="1:8" x14ac:dyDescent="0.25">
      <c r="A545" s="54">
        <v>4010301014</v>
      </c>
      <c r="B545" s="54">
        <v>40103010</v>
      </c>
      <c r="C545" s="54">
        <f>RIGHT(Table1[[#This Row],[UACS]],2)*1</f>
        <v>14</v>
      </c>
      <c r="D545" s="54">
        <v>40103010</v>
      </c>
      <c r="E545" s="54">
        <f ca="1">IF(ISNUMBER(SEARCH($I$1,F545)),MAX($E$2:E544)+1,0)</f>
        <v>0</v>
      </c>
      <c r="F545" s="56" t="s">
        <v>621</v>
      </c>
      <c r="H545" s="55" t="str">
        <f ca="1">IFERROR(VLOOKUP(ROWS($H$3:H545),E:F,2,0),"")</f>
        <v/>
      </c>
    </row>
    <row r="546" spans="1:8" x14ac:dyDescent="0.25">
      <c r="A546" s="54">
        <v>4010301015</v>
      </c>
      <c r="B546" s="54">
        <v>40103010</v>
      </c>
      <c r="C546" s="54">
        <f>RIGHT(Table1[[#This Row],[UACS]],2)*1</f>
        <v>15</v>
      </c>
      <c r="D546" s="54">
        <v>40103010</v>
      </c>
      <c r="E546" s="54">
        <f ca="1">IF(ISNUMBER(SEARCH($I$1,F546)),MAX($E$2:E545)+1,0)</f>
        <v>0</v>
      </c>
      <c r="F546" s="56" t="s">
        <v>622</v>
      </c>
      <c r="H546" s="55" t="str">
        <f ca="1">IFERROR(VLOOKUP(ROWS($H$3:H546),E:F,2,0),"")</f>
        <v/>
      </c>
    </row>
    <row r="547" spans="1:8" x14ac:dyDescent="0.25">
      <c r="A547" s="54">
        <v>4010301016</v>
      </c>
      <c r="B547" s="54">
        <v>40103010</v>
      </c>
      <c r="C547" s="54">
        <f>RIGHT(Table1[[#This Row],[UACS]],2)*1</f>
        <v>16</v>
      </c>
      <c r="D547" s="54">
        <v>40103010</v>
      </c>
      <c r="E547" s="54">
        <f ca="1">IF(ISNUMBER(SEARCH($I$1,F547)),MAX($E$2:E546)+1,0)</f>
        <v>0</v>
      </c>
      <c r="F547" s="56" t="s">
        <v>623</v>
      </c>
      <c r="H547" s="55" t="str">
        <f ca="1">IFERROR(VLOOKUP(ROWS($H$3:H547),E:F,2,0),"")</f>
        <v/>
      </c>
    </row>
    <row r="548" spans="1:8" x14ac:dyDescent="0.25">
      <c r="A548" s="54">
        <v>4010301017</v>
      </c>
      <c r="B548" s="54">
        <v>40103010</v>
      </c>
      <c r="C548" s="54">
        <f>RIGHT(Table1[[#This Row],[UACS]],2)*1</f>
        <v>17</v>
      </c>
      <c r="D548" s="54">
        <v>40103010</v>
      </c>
      <c r="E548" s="54">
        <f ca="1">IF(ISNUMBER(SEARCH($I$1,F548)),MAX($E$2:E547)+1,0)</f>
        <v>0</v>
      </c>
      <c r="F548" s="56" t="s">
        <v>624</v>
      </c>
      <c r="H548" s="55" t="str">
        <f ca="1">IFERROR(VLOOKUP(ROWS($H$3:H548),E:F,2,0),"")</f>
        <v/>
      </c>
    </row>
    <row r="549" spans="1:8" x14ac:dyDescent="0.25">
      <c r="A549" s="54">
        <v>4010301018</v>
      </c>
      <c r="B549" s="54">
        <v>40103010</v>
      </c>
      <c r="C549" s="54">
        <f>RIGHT(Table1[[#This Row],[UACS]],2)*1</f>
        <v>18</v>
      </c>
      <c r="D549" s="54">
        <v>40103010</v>
      </c>
      <c r="E549" s="54">
        <f ca="1">IF(ISNUMBER(SEARCH($I$1,F549)),MAX($E$2:E548)+1,0)</f>
        <v>0</v>
      </c>
      <c r="F549" s="56" t="s">
        <v>625</v>
      </c>
      <c r="H549" s="55" t="str">
        <f ca="1">IFERROR(VLOOKUP(ROWS($H$3:H549),E:F,2,0),"")</f>
        <v/>
      </c>
    </row>
    <row r="550" spans="1:8" x14ac:dyDescent="0.25">
      <c r="A550" s="54">
        <v>4010301019</v>
      </c>
      <c r="B550" s="54">
        <v>40103010</v>
      </c>
      <c r="C550" s="54">
        <f>RIGHT(Table1[[#This Row],[UACS]],2)*1</f>
        <v>19</v>
      </c>
      <c r="D550" s="54">
        <v>40103010</v>
      </c>
      <c r="E550" s="54">
        <f ca="1">IF(ISNUMBER(SEARCH($I$1,F550)),MAX($E$2:E549)+1,0)</f>
        <v>0</v>
      </c>
      <c r="F550" s="56" t="s">
        <v>626</v>
      </c>
      <c r="H550" s="55" t="str">
        <f ca="1">IFERROR(VLOOKUP(ROWS($H$3:H550),E:F,2,0),"")</f>
        <v/>
      </c>
    </row>
    <row r="551" spans="1:8" x14ac:dyDescent="0.25">
      <c r="A551" s="54">
        <v>4010301020</v>
      </c>
      <c r="B551" s="54">
        <v>40103010</v>
      </c>
      <c r="C551" s="54">
        <f>RIGHT(Table1[[#This Row],[UACS]],2)*1</f>
        <v>20</v>
      </c>
      <c r="D551" s="54">
        <v>40103010</v>
      </c>
      <c r="E551" s="54">
        <f ca="1">IF(ISNUMBER(SEARCH($I$1,F551)),MAX($E$2:E550)+1,0)</f>
        <v>0</v>
      </c>
      <c r="F551" s="56" t="s">
        <v>627</v>
      </c>
      <c r="H551" s="55" t="str">
        <f ca="1">IFERROR(VLOOKUP(ROWS($H$3:H551),E:F,2,0),"")</f>
        <v/>
      </c>
    </row>
    <row r="552" spans="1:8" x14ac:dyDescent="0.25">
      <c r="A552" s="54">
        <v>4010301021</v>
      </c>
      <c r="B552" s="54">
        <v>40103010</v>
      </c>
      <c r="C552" s="54">
        <f>RIGHT(Table1[[#This Row],[UACS]],2)*1</f>
        <v>21</v>
      </c>
      <c r="D552" s="54">
        <v>40103010</v>
      </c>
      <c r="E552" s="54">
        <f ca="1">IF(ISNUMBER(SEARCH($I$1,F552)),MAX($E$2:E551)+1,0)</f>
        <v>0</v>
      </c>
      <c r="F552" s="56" t="s">
        <v>628</v>
      </c>
      <c r="H552" s="55" t="str">
        <f ca="1">IFERROR(VLOOKUP(ROWS($H$3:H552),E:F,2,0),"")</f>
        <v/>
      </c>
    </row>
    <row r="553" spans="1:8" x14ac:dyDescent="0.25">
      <c r="A553" s="54">
        <v>4010301099</v>
      </c>
      <c r="B553" s="54">
        <v>40103010</v>
      </c>
      <c r="C553" s="54">
        <f>RIGHT(Table1[[#This Row],[UACS]],2)*1</f>
        <v>99</v>
      </c>
      <c r="D553" s="54">
        <v>40103010</v>
      </c>
      <c r="E553" s="54">
        <f ca="1">IF(ISNUMBER(SEARCH($I$1,F553)),MAX($E$2:E552)+1,0)</f>
        <v>0</v>
      </c>
      <c r="F553" s="56" t="s">
        <v>629</v>
      </c>
      <c r="H553" s="55" t="str">
        <f ca="1">IFERROR(VLOOKUP(ROWS($H$3:H553),E:F,2,0),"")</f>
        <v/>
      </c>
    </row>
    <row r="554" spans="1:8" x14ac:dyDescent="0.25">
      <c r="A554" s="54">
        <v>4010302001</v>
      </c>
      <c r="B554" s="54">
        <v>40103020</v>
      </c>
      <c r="C554" s="54">
        <f>RIGHT(Table1[[#This Row],[UACS]],2)*1</f>
        <v>1</v>
      </c>
      <c r="D554" s="54">
        <v>40103020</v>
      </c>
      <c r="E554" s="54">
        <f ca="1">IF(ISNUMBER(SEARCH($I$1,F554)),MAX($E$2:E553)+1,0)</f>
        <v>0</v>
      </c>
      <c r="F554" s="56" t="s">
        <v>630</v>
      </c>
      <c r="H554" s="55" t="str">
        <f ca="1">IFERROR(VLOOKUP(ROWS($H$3:H554),E:F,2,0),"")</f>
        <v/>
      </c>
    </row>
    <row r="555" spans="1:8" x14ac:dyDescent="0.25">
      <c r="A555" s="54">
        <v>4010302002</v>
      </c>
      <c r="B555" s="54">
        <v>40103020</v>
      </c>
      <c r="C555" s="54">
        <f>RIGHT(Table1[[#This Row],[UACS]],2)*1</f>
        <v>2</v>
      </c>
      <c r="D555" s="54">
        <v>40103020</v>
      </c>
      <c r="E555" s="54">
        <f ca="1">IF(ISNUMBER(SEARCH($I$1,F555)),MAX($E$2:E554)+1,0)</f>
        <v>0</v>
      </c>
      <c r="F555" s="56" t="s">
        <v>631</v>
      </c>
      <c r="H555" s="55" t="str">
        <f ca="1">IFERROR(VLOOKUP(ROWS($H$3:H555),E:F,2,0),"")</f>
        <v/>
      </c>
    </row>
    <row r="556" spans="1:8" x14ac:dyDescent="0.25">
      <c r="A556" s="54">
        <v>4010302003</v>
      </c>
      <c r="B556" s="54">
        <v>40103020</v>
      </c>
      <c r="C556" s="54">
        <f>RIGHT(Table1[[#This Row],[UACS]],2)*1</f>
        <v>3</v>
      </c>
      <c r="D556" s="54">
        <v>40103020</v>
      </c>
      <c r="E556" s="54">
        <f ca="1">IF(ISNUMBER(SEARCH($I$1,F556)),MAX($E$2:E555)+1,0)</f>
        <v>0</v>
      </c>
      <c r="F556" s="56" t="s">
        <v>632</v>
      </c>
      <c r="H556" s="55" t="str">
        <f ca="1">IFERROR(VLOOKUP(ROWS($H$3:H556),E:F,2,0),"")</f>
        <v/>
      </c>
    </row>
    <row r="557" spans="1:8" x14ac:dyDescent="0.25">
      <c r="A557" s="54">
        <v>4010302004</v>
      </c>
      <c r="B557" s="54">
        <v>40103020</v>
      </c>
      <c r="C557" s="54">
        <f>RIGHT(Table1[[#This Row],[UACS]],2)*1</f>
        <v>4</v>
      </c>
      <c r="D557" s="54">
        <v>40103020</v>
      </c>
      <c r="E557" s="54">
        <f ca="1">IF(ISNUMBER(SEARCH($I$1,F557)),MAX($E$2:E556)+1,0)</f>
        <v>0</v>
      </c>
      <c r="F557" s="56" t="s">
        <v>633</v>
      </c>
      <c r="H557" s="55" t="str">
        <f ca="1">IFERROR(VLOOKUP(ROWS($H$3:H557),E:F,2,0),"")</f>
        <v/>
      </c>
    </row>
    <row r="558" spans="1:8" x14ac:dyDescent="0.25">
      <c r="A558" s="54">
        <v>4010302005</v>
      </c>
      <c r="B558" s="54">
        <v>40103020</v>
      </c>
      <c r="C558" s="54">
        <f>RIGHT(Table1[[#This Row],[UACS]],2)*1</f>
        <v>5</v>
      </c>
      <c r="D558" s="54">
        <v>40103020</v>
      </c>
      <c r="E558" s="54">
        <f ca="1">IF(ISNUMBER(SEARCH($I$1,F558)),MAX($E$2:E557)+1,0)</f>
        <v>0</v>
      </c>
      <c r="F558" s="56" t="s">
        <v>634</v>
      </c>
      <c r="H558" s="55" t="str">
        <f ca="1">IFERROR(VLOOKUP(ROWS($H$3:H558),E:F,2,0),"")</f>
        <v/>
      </c>
    </row>
    <row r="559" spans="1:8" x14ac:dyDescent="0.25">
      <c r="A559" s="54">
        <v>4010302006</v>
      </c>
      <c r="B559" s="54">
        <v>40103020</v>
      </c>
      <c r="C559" s="54">
        <f>RIGHT(Table1[[#This Row],[UACS]],2)*1</f>
        <v>6</v>
      </c>
      <c r="D559" s="54">
        <v>40103020</v>
      </c>
      <c r="E559" s="54">
        <f ca="1">IF(ISNUMBER(SEARCH($I$1,F559)),MAX($E$2:E558)+1,0)</f>
        <v>0</v>
      </c>
      <c r="F559" s="56" t="s">
        <v>635</v>
      </c>
      <c r="H559" s="55" t="str">
        <f ca="1">IFERROR(VLOOKUP(ROWS($H$3:H559),E:F,2,0),"")</f>
        <v/>
      </c>
    </row>
    <row r="560" spans="1:8" x14ac:dyDescent="0.25">
      <c r="A560" s="54">
        <v>4010302007</v>
      </c>
      <c r="B560" s="54">
        <v>40103020</v>
      </c>
      <c r="C560" s="54">
        <f>RIGHT(Table1[[#This Row],[UACS]],2)*1</f>
        <v>7</v>
      </c>
      <c r="D560" s="54">
        <v>40103020</v>
      </c>
      <c r="E560" s="54">
        <f ca="1">IF(ISNUMBER(SEARCH($I$1,F560)),MAX($E$2:E559)+1,0)</f>
        <v>0</v>
      </c>
      <c r="F560" s="56" t="s">
        <v>636</v>
      </c>
      <c r="H560" s="55" t="str">
        <f ca="1">IFERROR(VLOOKUP(ROWS($H$3:H560),E:F,2,0),"")</f>
        <v/>
      </c>
    </row>
    <row r="561" spans="1:8" x14ac:dyDescent="0.25">
      <c r="A561" s="54">
        <v>4010302099</v>
      </c>
      <c r="B561" s="54">
        <v>40103020</v>
      </c>
      <c r="C561" s="54">
        <f>RIGHT(Table1[[#This Row],[UACS]],2)*1</f>
        <v>99</v>
      </c>
      <c r="D561" s="54">
        <v>40103020</v>
      </c>
      <c r="E561" s="54">
        <f ca="1">IF(ISNUMBER(SEARCH($I$1,F561)),MAX($E$2:E560)+1,0)</f>
        <v>0</v>
      </c>
      <c r="F561" s="56" t="s">
        <v>637</v>
      </c>
      <c r="H561" s="55" t="str">
        <f ca="1">IFERROR(VLOOKUP(ROWS($H$3:H561),E:F,2,0),"")</f>
        <v/>
      </c>
    </row>
    <row r="562" spans="1:8" x14ac:dyDescent="0.25">
      <c r="A562" s="54">
        <v>4010303001</v>
      </c>
      <c r="B562" s="54">
        <v>40103030</v>
      </c>
      <c r="C562" s="54">
        <f>RIGHT(Table1[[#This Row],[UACS]],2)*1</f>
        <v>1</v>
      </c>
      <c r="D562" s="54">
        <v>40103030</v>
      </c>
      <c r="E562" s="54">
        <f ca="1">IF(ISNUMBER(SEARCH($I$1,F562)),MAX($E$2:E561)+1,0)</f>
        <v>0</v>
      </c>
      <c r="F562" s="56" t="s">
        <v>638</v>
      </c>
      <c r="H562" s="55" t="str">
        <f ca="1">IFERROR(VLOOKUP(ROWS($H$3:H562),E:F,2,0),"")</f>
        <v/>
      </c>
    </row>
    <row r="563" spans="1:8" x14ac:dyDescent="0.25">
      <c r="A563" s="54">
        <v>4010303002</v>
      </c>
      <c r="B563" s="54">
        <v>40103030</v>
      </c>
      <c r="C563" s="54">
        <f>RIGHT(Table1[[#This Row],[UACS]],2)*1</f>
        <v>2</v>
      </c>
      <c r="D563" s="54">
        <v>40103030</v>
      </c>
      <c r="E563" s="54">
        <f ca="1">IF(ISNUMBER(SEARCH($I$1,F563)),MAX($E$2:E562)+1,0)</f>
        <v>0</v>
      </c>
      <c r="F563" s="56" t="s">
        <v>639</v>
      </c>
      <c r="H563" s="55" t="str">
        <f ca="1">IFERROR(VLOOKUP(ROWS($H$3:H563),E:F,2,0),"")</f>
        <v/>
      </c>
    </row>
    <row r="564" spans="1:8" x14ac:dyDescent="0.25">
      <c r="A564" s="54">
        <v>4010303003</v>
      </c>
      <c r="B564" s="54">
        <v>40103030</v>
      </c>
      <c r="C564" s="54">
        <f>RIGHT(Table1[[#This Row],[UACS]],2)*1</f>
        <v>3</v>
      </c>
      <c r="D564" s="54">
        <v>40103030</v>
      </c>
      <c r="E564" s="54">
        <f ca="1">IF(ISNUMBER(SEARCH($I$1,F564)),MAX($E$2:E563)+1,0)</f>
        <v>0</v>
      </c>
      <c r="F564" s="56" t="s">
        <v>640</v>
      </c>
      <c r="H564" s="55" t="str">
        <f ca="1">IFERROR(VLOOKUP(ROWS($H$3:H564),E:F,2,0),"")</f>
        <v/>
      </c>
    </row>
    <row r="565" spans="1:8" x14ac:dyDescent="0.25">
      <c r="A565" s="54">
        <v>4010304000</v>
      </c>
      <c r="B565" s="54">
        <v>40103040</v>
      </c>
      <c r="C565" s="54">
        <f>RIGHT(Table1[[#This Row],[UACS]],2)*1</f>
        <v>0</v>
      </c>
      <c r="D565" s="54">
        <v>40103040</v>
      </c>
      <c r="E565" s="54">
        <f ca="1">IF(ISNUMBER(SEARCH($I$1,F565)),MAX($E$2:E564)+1,0)</f>
        <v>0</v>
      </c>
      <c r="F565" s="56" t="s">
        <v>641</v>
      </c>
      <c r="H565" s="55" t="str">
        <f ca="1">IFERROR(VLOOKUP(ROWS($H$3:H565),E:F,2,0),"")</f>
        <v/>
      </c>
    </row>
    <row r="566" spans="1:8" x14ac:dyDescent="0.25">
      <c r="A566" s="54">
        <v>4010305000</v>
      </c>
      <c r="B566" s="54">
        <v>40103050</v>
      </c>
      <c r="C566" s="54">
        <f>RIGHT(Table1[[#This Row],[UACS]],2)*1</f>
        <v>0</v>
      </c>
      <c r="D566" s="54">
        <v>40103050</v>
      </c>
      <c r="E566" s="54">
        <f ca="1">IF(ISNUMBER(SEARCH($I$1,F566)),MAX($E$2:E565)+1,0)</f>
        <v>0</v>
      </c>
      <c r="F566" s="56" t="s">
        <v>642</v>
      </c>
      <c r="H566" s="55" t="str">
        <f ca="1">IFERROR(VLOOKUP(ROWS($H$3:H566),E:F,2,0),"")</f>
        <v/>
      </c>
    </row>
    <row r="567" spans="1:8" x14ac:dyDescent="0.25">
      <c r="A567" s="54">
        <v>4010306000</v>
      </c>
      <c r="B567" s="54">
        <v>40103060</v>
      </c>
      <c r="C567" s="54">
        <f>RIGHT(Table1[[#This Row],[UACS]],2)*1</f>
        <v>0</v>
      </c>
      <c r="D567" s="54">
        <v>40103060</v>
      </c>
      <c r="E567" s="54">
        <f ca="1">IF(ISNUMBER(SEARCH($I$1,F567)),MAX($E$2:E566)+1,0)</f>
        <v>0</v>
      </c>
      <c r="F567" s="56" t="s">
        <v>643</v>
      </c>
      <c r="H567" s="55" t="str">
        <f ca="1">IFERROR(VLOOKUP(ROWS($H$3:H567),E:F,2,0),"")</f>
        <v/>
      </c>
    </row>
    <row r="568" spans="1:8" x14ac:dyDescent="0.25">
      <c r="A568" s="54">
        <v>4010401000</v>
      </c>
      <c r="B568" s="54">
        <v>40104010</v>
      </c>
      <c r="C568" s="54">
        <f>RIGHT(Table1[[#This Row],[UACS]],2)*1</f>
        <v>0</v>
      </c>
      <c r="D568" s="54">
        <v>40104010</v>
      </c>
      <c r="E568" s="54">
        <f ca="1">IF(ISNUMBER(SEARCH($I$1,F568)),MAX($E$2:E567)+1,0)</f>
        <v>0</v>
      </c>
      <c r="F568" s="56" t="s">
        <v>644</v>
      </c>
      <c r="H568" s="55" t="str">
        <f ca="1">IFERROR(VLOOKUP(ROWS($H$3:H568),E:F,2,0),"")</f>
        <v/>
      </c>
    </row>
    <row r="569" spans="1:8" x14ac:dyDescent="0.25">
      <c r="A569" s="54">
        <v>4010402001</v>
      </c>
      <c r="B569" s="54">
        <v>40104020</v>
      </c>
      <c r="C569" s="54">
        <f>RIGHT(Table1[[#This Row],[UACS]],2)*1</f>
        <v>1</v>
      </c>
      <c r="D569" s="54">
        <v>40104020</v>
      </c>
      <c r="E569" s="54">
        <f ca="1">IF(ISNUMBER(SEARCH($I$1,F569)),MAX($E$2:E568)+1,0)</f>
        <v>0</v>
      </c>
      <c r="F569" s="56" t="s">
        <v>645</v>
      </c>
      <c r="H569" s="55" t="str">
        <f ca="1">IFERROR(VLOOKUP(ROWS($H$3:H569),E:F,2,0),"")</f>
        <v/>
      </c>
    </row>
    <row r="570" spans="1:8" x14ac:dyDescent="0.25">
      <c r="A570" s="54">
        <v>4010402002</v>
      </c>
      <c r="B570" s="54">
        <v>40104020</v>
      </c>
      <c r="C570" s="54">
        <f>RIGHT(Table1[[#This Row],[UACS]],2)*1</f>
        <v>2</v>
      </c>
      <c r="D570" s="54">
        <v>40104020</v>
      </c>
      <c r="E570" s="54">
        <f ca="1">IF(ISNUMBER(SEARCH($I$1,F570)),MAX($E$2:E569)+1,0)</f>
        <v>0</v>
      </c>
      <c r="F570" s="56" t="s">
        <v>646</v>
      </c>
      <c r="H570" s="55" t="str">
        <f ca="1">IFERROR(VLOOKUP(ROWS($H$3:H570),E:F,2,0),"")</f>
        <v/>
      </c>
    </row>
    <row r="571" spans="1:8" x14ac:dyDescent="0.25">
      <c r="A571" s="54">
        <v>4010402003</v>
      </c>
      <c r="B571" s="54">
        <v>40104020</v>
      </c>
      <c r="C571" s="54">
        <f>RIGHT(Table1[[#This Row],[UACS]],2)*1</f>
        <v>3</v>
      </c>
      <c r="D571" s="54">
        <v>40104020</v>
      </c>
      <c r="E571" s="54">
        <f ca="1">IF(ISNUMBER(SEARCH($I$1,F571)),MAX($E$2:E570)+1,0)</f>
        <v>0</v>
      </c>
      <c r="F571" s="56" t="s">
        <v>647</v>
      </c>
      <c r="H571" s="55" t="str">
        <f ca="1">IFERROR(VLOOKUP(ROWS($H$3:H571),E:F,2,0),"")</f>
        <v/>
      </c>
    </row>
    <row r="572" spans="1:8" x14ac:dyDescent="0.25">
      <c r="A572" s="54">
        <v>4010499001</v>
      </c>
      <c r="B572" s="54">
        <v>40104990</v>
      </c>
      <c r="C572" s="54">
        <f>RIGHT(Table1[[#This Row],[UACS]],2)*1</f>
        <v>1</v>
      </c>
      <c r="D572" s="54">
        <v>40104990</v>
      </c>
      <c r="E572" s="54">
        <f ca="1">IF(ISNUMBER(SEARCH($I$1,F572)),MAX($E$2:E571)+1,0)</f>
        <v>0</v>
      </c>
      <c r="F572" s="56" t="s">
        <v>648</v>
      </c>
      <c r="H572" s="55" t="str">
        <f ca="1">IFERROR(VLOOKUP(ROWS($H$3:H572),E:F,2,0),"")</f>
        <v/>
      </c>
    </row>
    <row r="573" spans="1:8" x14ac:dyDescent="0.25">
      <c r="A573" s="54">
        <v>4010499002</v>
      </c>
      <c r="B573" s="54">
        <v>40104990</v>
      </c>
      <c r="C573" s="54">
        <f>RIGHT(Table1[[#This Row],[UACS]],2)*1</f>
        <v>2</v>
      </c>
      <c r="D573" s="54">
        <v>40104990</v>
      </c>
      <c r="E573" s="54">
        <f ca="1">IF(ISNUMBER(SEARCH($I$1,F573)),MAX($E$2:E572)+1,0)</f>
        <v>0</v>
      </c>
      <c r="F573" s="56" t="s">
        <v>649</v>
      </c>
      <c r="H573" s="55" t="str">
        <f ca="1">IFERROR(VLOOKUP(ROWS($H$3:H573),E:F,2,0),"")</f>
        <v/>
      </c>
    </row>
    <row r="574" spans="1:8" x14ac:dyDescent="0.25">
      <c r="A574" s="54">
        <v>4010501000</v>
      </c>
      <c r="B574" s="54">
        <v>40105010</v>
      </c>
      <c r="C574" s="54">
        <f>RIGHT(Table1[[#This Row],[UACS]],2)*1</f>
        <v>0</v>
      </c>
      <c r="D574" s="54">
        <v>40105010</v>
      </c>
      <c r="E574" s="54">
        <f ca="1">IF(ISNUMBER(SEARCH($I$1,F574)),MAX($E$2:E573)+1,0)</f>
        <v>0</v>
      </c>
      <c r="F574" s="56" t="s">
        <v>650</v>
      </c>
      <c r="H574" s="55" t="str">
        <f ca="1">IFERROR(VLOOKUP(ROWS($H$3:H574),E:F,2,0),"")</f>
        <v/>
      </c>
    </row>
    <row r="575" spans="1:8" x14ac:dyDescent="0.25">
      <c r="A575" s="54">
        <v>4010502000</v>
      </c>
      <c r="B575" s="54">
        <v>40105020</v>
      </c>
      <c r="C575" s="54">
        <f>RIGHT(Table1[[#This Row],[UACS]],2)*1</f>
        <v>0</v>
      </c>
      <c r="D575" s="54">
        <v>40105020</v>
      </c>
      <c r="E575" s="54">
        <f ca="1">IF(ISNUMBER(SEARCH($I$1,F575)),MAX($E$2:E574)+1,0)</f>
        <v>0</v>
      </c>
      <c r="F575" s="56" t="s">
        <v>651</v>
      </c>
      <c r="H575" s="55" t="str">
        <f ca="1">IFERROR(VLOOKUP(ROWS($H$3:H575),E:F,2,0),"")</f>
        <v/>
      </c>
    </row>
    <row r="576" spans="1:8" x14ac:dyDescent="0.25">
      <c r="A576" s="54">
        <v>4010503000</v>
      </c>
      <c r="B576" s="54">
        <v>40105030</v>
      </c>
      <c r="C576" s="54">
        <f>RIGHT(Table1[[#This Row],[UACS]],2)*1</f>
        <v>0</v>
      </c>
      <c r="D576" s="54">
        <v>40105030</v>
      </c>
      <c r="E576" s="54">
        <f ca="1">IF(ISNUMBER(SEARCH($I$1,F576)),MAX($E$2:E575)+1,0)</f>
        <v>0</v>
      </c>
      <c r="F576" s="56" t="s">
        <v>652</v>
      </c>
      <c r="H576" s="55" t="str">
        <f ca="1">IFERROR(VLOOKUP(ROWS($H$3:H576),E:F,2,0),"")</f>
        <v/>
      </c>
    </row>
    <row r="577" spans="1:8" x14ac:dyDescent="0.25">
      <c r="A577" s="54">
        <v>4010504000</v>
      </c>
      <c r="B577" s="54">
        <v>40105040</v>
      </c>
      <c r="C577" s="54">
        <f>RIGHT(Table1[[#This Row],[UACS]],2)*1</f>
        <v>0</v>
      </c>
      <c r="D577" s="54">
        <v>40105040</v>
      </c>
      <c r="E577" s="54">
        <f ca="1">IF(ISNUMBER(SEARCH($I$1,F577)),MAX($E$2:E576)+1,0)</f>
        <v>0</v>
      </c>
      <c r="F577" s="56" t="s">
        <v>653</v>
      </c>
      <c r="H577" s="55" t="str">
        <f ca="1">IFERROR(VLOOKUP(ROWS($H$3:H577),E:F,2,0),"")</f>
        <v/>
      </c>
    </row>
    <row r="578" spans="1:8" x14ac:dyDescent="0.25">
      <c r="A578" s="54">
        <v>4020101001</v>
      </c>
      <c r="B578" s="54">
        <v>40201010</v>
      </c>
      <c r="C578" s="54">
        <f>RIGHT(Table1[[#This Row],[UACS]],2)*1</f>
        <v>1</v>
      </c>
      <c r="D578" s="54">
        <v>40201010</v>
      </c>
      <c r="E578" s="54">
        <f ca="1">IF(ISNUMBER(SEARCH($I$1,F578)),MAX($E$2:E577)+1,0)</f>
        <v>0</v>
      </c>
      <c r="F578" s="56" t="s">
        <v>654</v>
      </c>
      <c r="H578" s="55" t="str">
        <f ca="1">IFERROR(VLOOKUP(ROWS($H$3:H578),E:F,2,0),"")</f>
        <v/>
      </c>
    </row>
    <row r="579" spans="1:8" x14ac:dyDescent="0.25">
      <c r="A579" s="54">
        <v>4020101002</v>
      </c>
      <c r="B579" s="54">
        <v>40201010</v>
      </c>
      <c r="C579" s="54">
        <f>RIGHT(Table1[[#This Row],[UACS]],2)*1</f>
        <v>2</v>
      </c>
      <c r="D579" s="54">
        <v>40201010</v>
      </c>
      <c r="E579" s="54">
        <f ca="1">IF(ISNUMBER(SEARCH($I$1,F579)),MAX($E$2:E578)+1,0)</f>
        <v>0</v>
      </c>
      <c r="F579" s="56" t="s">
        <v>655</v>
      </c>
      <c r="H579" s="55" t="str">
        <f ca="1">IFERROR(VLOOKUP(ROWS($H$3:H579),E:F,2,0),"")</f>
        <v/>
      </c>
    </row>
    <row r="580" spans="1:8" x14ac:dyDescent="0.25">
      <c r="A580" s="54">
        <v>4020101099</v>
      </c>
      <c r="B580" s="54">
        <v>40201010</v>
      </c>
      <c r="C580" s="54">
        <f>RIGHT(Table1[[#This Row],[UACS]],2)*1</f>
        <v>99</v>
      </c>
      <c r="D580" s="54">
        <v>40201010</v>
      </c>
      <c r="E580" s="54">
        <f ca="1">IF(ISNUMBER(SEARCH($I$1,F580)),MAX($E$2:E579)+1,0)</f>
        <v>0</v>
      </c>
      <c r="F580" s="56" t="s">
        <v>656</v>
      </c>
      <c r="H580" s="55" t="str">
        <f ca="1">IFERROR(VLOOKUP(ROWS($H$3:H580),E:F,2,0),"")</f>
        <v/>
      </c>
    </row>
    <row r="581" spans="1:8" x14ac:dyDescent="0.25">
      <c r="A581" s="54">
        <v>4020102000</v>
      </c>
      <c r="B581" s="54">
        <v>40201020</v>
      </c>
      <c r="C581" s="54">
        <f>RIGHT(Table1[[#This Row],[UACS]],2)*1</f>
        <v>0</v>
      </c>
      <c r="D581" s="54">
        <v>40201020</v>
      </c>
      <c r="E581" s="54">
        <f ca="1">IF(ISNUMBER(SEARCH($I$1,F581)),MAX($E$2:E580)+1,0)</f>
        <v>0</v>
      </c>
      <c r="F581" s="56" t="s">
        <v>657</v>
      </c>
      <c r="H581" s="55" t="str">
        <f ca="1">IFERROR(VLOOKUP(ROWS($H$3:H581),E:F,2,0),"")</f>
        <v/>
      </c>
    </row>
    <row r="582" spans="1:8" x14ac:dyDescent="0.25">
      <c r="A582" s="54">
        <v>4020103001</v>
      </c>
      <c r="B582" s="54">
        <v>40201030</v>
      </c>
      <c r="C582" s="54">
        <f>RIGHT(Table1[[#This Row],[UACS]],2)*1</f>
        <v>1</v>
      </c>
      <c r="D582" s="54">
        <v>40201030</v>
      </c>
      <c r="E582" s="54">
        <f ca="1">IF(ISNUMBER(SEARCH($I$1,F582)),MAX($E$2:E581)+1,0)</f>
        <v>0</v>
      </c>
      <c r="F582" s="56" t="s">
        <v>658</v>
      </c>
      <c r="H582" s="55" t="str">
        <f ca="1">IFERROR(VLOOKUP(ROWS($H$3:H582),E:F,2,0),"")</f>
        <v/>
      </c>
    </row>
    <row r="583" spans="1:8" x14ac:dyDescent="0.25">
      <c r="A583" s="54">
        <v>4020103002</v>
      </c>
      <c r="B583" s="54">
        <v>40201030</v>
      </c>
      <c r="C583" s="54">
        <f>RIGHT(Table1[[#This Row],[UACS]],2)*1</f>
        <v>2</v>
      </c>
      <c r="D583" s="54">
        <v>40201030</v>
      </c>
      <c r="E583" s="54">
        <f ca="1">IF(ISNUMBER(SEARCH($I$1,F583)),MAX($E$2:E582)+1,0)</f>
        <v>0</v>
      </c>
      <c r="F583" s="56" t="s">
        <v>659</v>
      </c>
      <c r="H583" s="55" t="str">
        <f ca="1">IFERROR(VLOOKUP(ROWS($H$3:H583),E:F,2,0),"")</f>
        <v/>
      </c>
    </row>
    <row r="584" spans="1:8" x14ac:dyDescent="0.25">
      <c r="A584" s="54">
        <v>4020103003</v>
      </c>
      <c r="B584" s="54">
        <v>40201030</v>
      </c>
      <c r="C584" s="54">
        <f>RIGHT(Table1[[#This Row],[UACS]],2)*1</f>
        <v>3</v>
      </c>
      <c r="D584" s="54">
        <v>40201030</v>
      </c>
      <c r="E584" s="54">
        <f ca="1">IF(ISNUMBER(SEARCH($I$1,F584)),MAX($E$2:E583)+1,0)</f>
        <v>0</v>
      </c>
      <c r="F584" s="56" t="s">
        <v>660</v>
      </c>
      <c r="H584" s="55" t="str">
        <f ca="1">IFERROR(VLOOKUP(ROWS($H$3:H584),E:F,2,0),"")</f>
        <v/>
      </c>
    </row>
    <row r="585" spans="1:8" x14ac:dyDescent="0.25">
      <c r="A585" s="54">
        <v>4020103004</v>
      </c>
      <c r="B585" s="54">
        <v>40201030</v>
      </c>
      <c r="C585" s="54">
        <f>RIGHT(Table1[[#This Row],[UACS]],2)*1</f>
        <v>4</v>
      </c>
      <c r="D585" s="54">
        <v>40201030</v>
      </c>
      <c r="E585" s="54">
        <f ca="1">IF(ISNUMBER(SEARCH($I$1,F585)),MAX($E$2:E584)+1,0)</f>
        <v>0</v>
      </c>
      <c r="F585" s="56" t="s">
        <v>661</v>
      </c>
      <c r="H585" s="55" t="str">
        <f ca="1">IFERROR(VLOOKUP(ROWS($H$3:H585),E:F,2,0),"")</f>
        <v/>
      </c>
    </row>
    <row r="586" spans="1:8" x14ac:dyDescent="0.25">
      <c r="A586" s="54">
        <v>4020104001</v>
      </c>
      <c r="B586" s="54">
        <v>40201040</v>
      </c>
      <c r="C586" s="54">
        <f>RIGHT(Table1[[#This Row],[UACS]],2)*1</f>
        <v>1</v>
      </c>
      <c r="D586" s="54">
        <v>40201040</v>
      </c>
      <c r="E586" s="54">
        <f ca="1">IF(ISNUMBER(SEARCH($I$1,F586)),MAX($E$2:E585)+1,0)</f>
        <v>0</v>
      </c>
      <c r="F586" s="56" t="s">
        <v>662</v>
      </c>
      <c r="H586" s="55" t="str">
        <f ca="1">IFERROR(VLOOKUP(ROWS($H$3:H586),E:F,2,0),"")</f>
        <v/>
      </c>
    </row>
    <row r="587" spans="1:8" x14ac:dyDescent="0.25">
      <c r="A587" s="54">
        <v>4020104002</v>
      </c>
      <c r="B587" s="54">
        <v>40201040</v>
      </c>
      <c r="C587" s="54">
        <f>RIGHT(Table1[[#This Row],[UACS]],2)*1</f>
        <v>2</v>
      </c>
      <c r="D587" s="54">
        <v>40201040</v>
      </c>
      <c r="E587" s="54">
        <f ca="1">IF(ISNUMBER(SEARCH($I$1,F587)),MAX($E$2:E586)+1,0)</f>
        <v>0</v>
      </c>
      <c r="F587" s="56" t="s">
        <v>663</v>
      </c>
      <c r="H587" s="55" t="str">
        <f ca="1">IFERROR(VLOOKUP(ROWS($H$3:H587),E:F,2,0),"")</f>
        <v/>
      </c>
    </row>
    <row r="588" spans="1:8" x14ac:dyDescent="0.25">
      <c r="A588" s="54">
        <v>4020104003</v>
      </c>
      <c r="B588" s="54">
        <v>40201040</v>
      </c>
      <c r="C588" s="54">
        <f>RIGHT(Table1[[#This Row],[UACS]],2)*1</f>
        <v>3</v>
      </c>
      <c r="D588" s="54">
        <v>40201040</v>
      </c>
      <c r="E588" s="54">
        <f ca="1">IF(ISNUMBER(SEARCH($I$1,F588)),MAX($E$2:E587)+1,0)</f>
        <v>0</v>
      </c>
      <c r="F588" s="56" t="s">
        <v>664</v>
      </c>
      <c r="H588" s="55" t="str">
        <f ca="1">IFERROR(VLOOKUP(ROWS($H$3:H588),E:F,2,0),"")</f>
        <v/>
      </c>
    </row>
    <row r="589" spans="1:8" x14ac:dyDescent="0.25">
      <c r="A589" s="54">
        <v>4020104004</v>
      </c>
      <c r="B589" s="54">
        <v>40201040</v>
      </c>
      <c r="C589" s="54">
        <f>RIGHT(Table1[[#This Row],[UACS]],2)*1</f>
        <v>4</v>
      </c>
      <c r="D589" s="54">
        <v>40201040</v>
      </c>
      <c r="E589" s="54">
        <f ca="1">IF(ISNUMBER(SEARCH($I$1,F589)),MAX($E$2:E588)+1,0)</f>
        <v>0</v>
      </c>
      <c r="F589" s="56" t="s">
        <v>665</v>
      </c>
      <c r="H589" s="55" t="str">
        <f ca="1">IFERROR(VLOOKUP(ROWS($H$3:H589),E:F,2,0),"")</f>
        <v/>
      </c>
    </row>
    <row r="590" spans="1:8" x14ac:dyDescent="0.25">
      <c r="A590" s="54">
        <v>4020105000</v>
      </c>
      <c r="B590" s="54">
        <v>40201050</v>
      </c>
      <c r="C590" s="54">
        <f>RIGHT(Table1[[#This Row],[UACS]],2)*1</f>
        <v>0</v>
      </c>
      <c r="D590" s="54">
        <v>40201050</v>
      </c>
      <c r="E590" s="54">
        <f ca="1">IF(ISNUMBER(SEARCH($I$1,F590)),MAX($E$2:E589)+1,0)</f>
        <v>0</v>
      </c>
      <c r="F590" s="56" t="s">
        <v>666</v>
      </c>
      <c r="H590" s="55" t="str">
        <f ca="1">IFERROR(VLOOKUP(ROWS($H$3:H590),E:F,2,0),"")</f>
        <v/>
      </c>
    </row>
    <row r="591" spans="1:8" x14ac:dyDescent="0.25">
      <c r="A591" s="54">
        <v>4020106000</v>
      </c>
      <c r="B591" s="54">
        <v>40201060</v>
      </c>
      <c r="C591" s="54">
        <f>RIGHT(Table1[[#This Row],[UACS]],2)*1</f>
        <v>0</v>
      </c>
      <c r="D591" s="54">
        <v>40201060</v>
      </c>
      <c r="E591" s="54">
        <f ca="1">IF(ISNUMBER(SEARCH($I$1,F591)),MAX($E$2:E590)+1,0)</f>
        <v>0</v>
      </c>
      <c r="F591" s="56" t="s">
        <v>667</v>
      </c>
      <c r="H591" s="55" t="str">
        <f ca="1">IFERROR(VLOOKUP(ROWS($H$3:H591),E:F,2,0),"")</f>
        <v/>
      </c>
    </row>
    <row r="592" spans="1:8" x14ac:dyDescent="0.25">
      <c r="A592" s="54">
        <v>4020107000</v>
      </c>
      <c r="B592" s="54">
        <v>40201070</v>
      </c>
      <c r="C592" s="54">
        <f>RIGHT(Table1[[#This Row],[UACS]],2)*1</f>
        <v>0</v>
      </c>
      <c r="D592" s="54">
        <v>40201070</v>
      </c>
      <c r="E592" s="54">
        <f ca="1">IF(ISNUMBER(SEARCH($I$1,F592)),MAX($E$2:E591)+1,0)</f>
        <v>0</v>
      </c>
      <c r="F592" s="56" t="s">
        <v>668</v>
      </c>
      <c r="H592" s="55" t="str">
        <f ca="1">IFERROR(VLOOKUP(ROWS($H$3:H592),E:F,2,0),"")</f>
        <v/>
      </c>
    </row>
    <row r="593" spans="1:8" x14ac:dyDescent="0.25">
      <c r="A593" s="54">
        <v>4020108000</v>
      </c>
      <c r="B593" s="54">
        <v>40201080</v>
      </c>
      <c r="C593" s="54">
        <f>RIGHT(Table1[[#This Row],[UACS]],2)*1</f>
        <v>0</v>
      </c>
      <c r="D593" s="54">
        <v>40201080</v>
      </c>
      <c r="E593" s="54">
        <f ca="1">IF(ISNUMBER(SEARCH($I$1,F593)),MAX($E$2:E592)+1,0)</f>
        <v>0</v>
      </c>
      <c r="F593" s="56" t="s">
        <v>669</v>
      </c>
      <c r="H593" s="55" t="str">
        <f ca="1">IFERROR(VLOOKUP(ROWS($H$3:H593),E:F,2,0),"")</f>
        <v/>
      </c>
    </row>
    <row r="594" spans="1:8" x14ac:dyDescent="0.25">
      <c r="A594" s="54">
        <v>4020109000</v>
      </c>
      <c r="B594" s="54">
        <v>40201090</v>
      </c>
      <c r="C594" s="54">
        <f>RIGHT(Table1[[#This Row],[UACS]],2)*1</f>
        <v>0</v>
      </c>
      <c r="D594" s="54">
        <v>40201090</v>
      </c>
      <c r="E594" s="54">
        <f ca="1">IF(ISNUMBER(SEARCH($I$1,F594)),MAX($E$2:E593)+1,0)</f>
        <v>0</v>
      </c>
      <c r="F594" s="56" t="s">
        <v>670</v>
      </c>
      <c r="H594" s="55" t="str">
        <f ca="1">IFERROR(VLOOKUP(ROWS($H$3:H594),E:F,2,0),"")</f>
        <v/>
      </c>
    </row>
    <row r="595" spans="1:8" x14ac:dyDescent="0.25">
      <c r="A595" s="54">
        <v>4020110000</v>
      </c>
      <c r="B595" s="54">
        <v>40201100</v>
      </c>
      <c r="C595" s="54">
        <f>RIGHT(Table1[[#This Row],[UACS]],2)*1</f>
        <v>0</v>
      </c>
      <c r="D595" s="54">
        <v>40201100</v>
      </c>
      <c r="E595" s="54">
        <f ca="1">IF(ISNUMBER(SEARCH($I$1,F595)),MAX($E$2:E594)+1,0)</f>
        <v>0</v>
      </c>
      <c r="F595" s="56" t="s">
        <v>671</v>
      </c>
      <c r="H595" s="55" t="str">
        <f ca="1">IFERROR(VLOOKUP(ROWS($H$3:H595),E:F,2,0),"")</f>
        <v/>
      </c>
    </row>
    <row r="596" spans="1:8" x14ac:dyDescent="0.25">
      <c r="A596" s="54">
        <v>4020111001</v>
      </c>
      <c r="B596" s="54">
        <v>40201110</v>
      </c>
      <c r="C596" s="54">
        <f>RIGHT(Table1[[#This Row],[UACS]],2)*1</f>
        <v>1</v>
      </c>
      <c r="D596" s="54">
        <v>40201110</v>
      </c>
      <c r="E596" s="54">
        <f ca="1">IF(ISNUMBER(SEARCH($I$1,F596)),MAX($E$2:E595)+1,0)</f>
        <v>0</v>
      </c>
      <c r="F596" s="56" t="s">
        <v>672</v>
      </c>
      <c r="H596" s="55" t="str">
        <f ca="1">IFERROR(VLOOKUP(ROWS($H$3:H596),E:F,2,0),"")</f>
        <v/>
      </c>
    </row>
    <row r="597" spans="1:8" x14ac:dyDescent="0.25">
      <c r="A597" s="54">
        <v>4020111002</v>
      </c>
      <c r="B597" s="54">
        <v>40201110</v>
      </c>
      <c r="C597" s="54">
        <f>RIGHT(Table1[[#This Row],[UACS]],2)*1</f>
        <v>2</v>
      </c>
      <c r="D597" s="54">
        <v>40201110</v>
      </c>
      <c r="E597" s="54">
        <f ca="1">IF(ISNUMBER(SEARCH($I$1,F597)),MAX($E$2:E596)+1,0)</f>
        <v>0</v>
      </c>
      <c r="F597" s="56" t="s">
        <v>673</v>
      </c>
      <c r="H597" s="55" t="str">
        <f ca="1">IFERROR(VLOOKUP(ROWS($H$3:H597),E:F,2,0),"")</f>
        <v/>
      </c>
    </row>
    <row r="598" spans="1:8" x14ac:dyDescent="0.25">
      <c r="A598" s="54">
        <v>4020111099</v>
      </c>
      <c r="B598" s="54">
        <v>40201110</v>
      </c>
      <c r="C598" s="54">
        <f>RIGHT(Table1[[#This Row],[UACS]],2)*1</f>
        <v>99</v>
      </c>
      <c r="D598" s="54">
        <v>40201110</v>
      </c>
      <c r="E598" s="54">
        <f ca="1">IF(ISNUMBER(SEARCH($I$1,F598)),MAX($E$2:E597)+1,0)</f>
        <v>0</v>
      </c>
      <c r="F598" s="56" t="s">
        <v>674</v>
      </c>
      <c r="H598" s="55" t="str">
        <f ca="1">IFERROR(VLOOKUP(ROWS($H$3:H598),E:F,2,0),"")</f>
        <v/>
      </c>
    </row>
    <row r="599" spans="1:8" x14ac:dyDescent="0.25">
      <c r="A599" s="54">
        <v>4020112001</v>
      </c>
      <c r="B599" s="54">
        <v>40201120</v>
      </c>
      <c r="C599" s="54">
        <f>RIGHT(Table1[[#This Row],[UACS]],2)*1</f>
        <v>1</v>
      </c>
      <c r="D599" s="54">
        <v>40201120</v>
      </c>
      <c r="E599" s="54">
        <f ca="1">IF(ISNUMBER(SEARCH($I$1,F599)),MAX($E$2:E598)+1,0)</f>
        <v>0</v>
      </c>
      <c r="F599" s="56" t="s">
        <v>675</v>
      </c>
      <c r="H599" s="55" t="str">
        <f ca="1">IFERROR(VLOOKUP(ROWS($H$3:H599),E:F,2,0),"")</f>
        <v/>
      </c>
    </row>
    <row r="600" spans="1:8" x14ac:dyDescent="0.25">
      <c r="A600" s="54">
        <v>4020112002</v>
      </c>
      <c r="B600" s="54">
        <v>40201120</v>
      </c>
      <c r="C600" s="54">
        <f>RIGHT(Table1[[#This Row],[UACS]],2)*1</f>
        <v>2</v>
      </c>
      <c r="D600" s="54">
        <v>40201120</v>
      </c>
      <c r="E600" s="54">
        <f ca="1">IF(ISNUMBER(SEARCH($I$1,F600)),MAX($E$2:E599)+1,0)</f>
        <v>0</v>
      </c>
      <c r="F600" s="56" t="s">
        <v>676</v>
      </c>
      <c r="H600" s="55" t="str">
        <f ca="1">IFERROR(VLOOKUP(ROWS($H$3:H600),E:F,2,0),"")</f>
        <v/>
      </c>
    </row>
    <row r="601" spans="1:8" x14ac:dyDescent="0.25">
      <c r="A601" s="54">
        <v>4020113001</v>
      </c>
      <c r="B601" s="54">
        <v>40201130</v>
      </c>
      <c r="C601" s="54">
        <f>RIGHT(Table1[[#This Row],[UACS]],2)*1</f>
        <v>1</v>
      </c>
      <c r="D601" s="54">
        <v>40201130</v>
      </c>
      <c r="E601" s="54">
        <f ca="1">IF(ISNUMBER(SEARCH($I$1,F601)),MAX($E$2:E600)+1,0)</f>
        <v>0</v>
      </c>
      <c r="F601" s="56" t="s">
        <v>677</v>
      </c>
      <c r="H601" s="55" t="str">
        <f ca="1">IFERROR(VLOOKUP(ROWS($H$3:H601),E:F,2,0),"")</f>
        <v/>
      </c>
    </row>
    <row r="602" spans="1:8" x14ac:dyDescent="0.25">
      <c r="A602" s="54">
        <v>4020113002</v>
      </c>
      <c r="B602" s="54">
        <v>40201130</v>
      </c>
      <c r="C602" s="54">
        <f>RIGHT(Table1[[#This Row],[UACS]],2)*1</f>
        <v>2</v>
      </c>
      <c r="D602" s="54">
        <v>40201130</v>
      </c>
      <c r="E602" s="54">
        <f ca="1">IF(ISNUMBER(SEARCH($I$1,F602)),MAX($E$2:E601)+1,0)</f>
        <v>0</v>
      </c>
      <c r="F602" s="56" t="s">
        <v>678</v>
      </c>
      <c r="H602" s="55" t="str">
        <f ca="1">IFERROR(VLOOKUP(ROWS($H$3:H602),E:F,2,0),"")</f>
        <v/>
      </c>
    </row>
    <row r="603" spans="1:8" x14ac:dyDescent="0.25">
      <c r="A603" s="54">
        <v>4020113003</v>
      </c>
      <c r="B603" s="54">
        <v>40201130</v>
      </c>
      <c r="C603" s="54">
        <f>RIGHT(Table1[[#This Row],[UACS]],2)*1</f>
        <v>3</v>
      </c>
      <c r="D603" s="54">
        <v>40201130</v>
      </c>
      <c r="E603" s="54">
        <f ca="1">IF(ISNUMBER(SEARCH($I$1,F603)),MAX($E$2:E602)+1,0)</f>
        <v>0</v>
      </c>
      <c r="F603" s="56" t="s">
        <v>679</v>
      </c>
      <c r="H603" s="55" t="str">
        <f ca="1">IFERROR(VLOOKUP(ROWS($H$3:H603),E:F,2,0),"")</f>
        <v/>
      </c>
    </row>
    <row r="604" spans="1:8" x14ac:dyDescent="0.25">
      <c r="A604" s="54">
        <v>4020113004</v>
      </c>
      <c r="B604" s="54">
        <v>40201130</v>
      </c>
      <c r="C604" s="54">
        <f>RIGHT(Table1[[#This Row],[UACS]],2)*1</f>
        <v>4</v>
      </c>
      <c r="D604" s="54">
        <v>40201130</v>
      </c>
      <c r="E604" s="54">
        <f ca="1">IF(ISNUMBER(SEARCH($I$1,F604)),MAX($E$2:E603)+1,0)</f>
        <v>0</v>
      </c>
      <c r="F604" s="56" t="s">
        <v>680</v>
      </c>
      <c r="H604" s="55" t="str">
        <f ca="1">IFERROR(VLOOKUP(ROWS($H$3:H604),E:F,2,0),"")</f>
        <v/>
      </c>
    </row>
    <row r="605" spans="1:8" x14ac:dyDescent="0.25">
      <c r="A605" s="54">
        <v>4020113005</v>
      </c>
      <c r="B605" s="54">
        <v>40201130</v>
      </c>
      <c r="C605" s="54">
        <f>RIGHT(Table1[[#This Row],[UACS]],2)*1</f>
        <v>5</v>
      </c>
      <c r="D605" s="54">
        <v>40201130</v>
      </c>
      <c r="E605" s="54">
        <f ca="1">IF(ISNUMBER(SEARCH($I$1,F605)),MAX($E$2:E604)+1,0)</f>
        <v>0</v>
      </c>
      <c r="F605" s="56" t="s">
        <v>681</v>
      </c>
      <c r="H605" s="55" t="str">
        <f ca="1">IFERROR(VLOOKUP(ROWS($H$3:H605),E:F,2,0),"")</f>
        <v/>
      </c>
    </row>
    <row r="606" spans="1:8" x14ac:dyDescent="0.25">
      <c r="A606" s="54">
        <v>4020113006</v>
      </c>
      <c r="B606" s="54">
        <v>40201130</v>
      </c>
      <c r="C606" s="54">
        <f>RIGHT(Table1[[#This Row],[UACS]],2)*1</f>
        <v>6</v>
      </c>
      <c r="D606" s="54">
        <v>40201130</v>
      </c>
      <c r="E606" s="54">
        <f ca="1">IF(ISNUMBER(SEARCH($I$1,F606)),MAX($E$2:E605)+1,0)</f>
        <v>0</v>
      </c>
      <c r="F606" s="56" t="s">
        <v>682</v>
      </c>
      <c r="H606" s="55" t="str">
        <f ca="1">IFERROR(VLOOKUP(ROWS($H$3:H606),E:F,2,0),"")</f>
        <v/>
      </c>
    </row>
    <row r="607" spans="1:8" x14ac:dyDescent="0.25">
      <c r="A607" s="54">
        <v>4020113007</v>
      </c>
      <c r="B607" s="54">
        <v>40201130</v>
      </c>
      <c r="C607" s="54">
        <f>RIGHT(Table1[[#This Row],[UACS]],2)*1</f>
        <v>7</v>
      </c>
      <c r="D607" s="54">
        <v>40201130</v>
      </c>
      <c r="E607" s="54">
        <f ca="1">IF(ISNUMBER(SEARCH($I$1,F607)),MAX($E$2:E606)+1,0)</f>
        <v>0</v>
      </c>
      <c r="F607" s="56" t="s">
        <v>683</v>
      </c>
      <c r="H607" s="55" t="str">
        <f ca="1">IFERROR(VLOOKUP(ROWS($H$3:H607),E:F,2,0),"")</f>
        <v/>
      </c>
    </row>
    <row r="608" spans="1:8" x14ac:dyDescent="0.25">
      <c r="A608" s="54">
        <v>4020113008</v>
      </c>
      <c r="B608" s="54">
        <v>40201130</v>
      </c>
      <c r="C608" s="54">
        <f>RIGHT(Table1[[#This Row],[UACS]],2)*1</f>
        <v>8</v>
      </c>
      <c r="D608" s="54">
        <v>40201130</v>
      </c>
      <c r="E608" s="54">
        <f ca="1">IF(ISNUMBER(SEARCH($I$1,F608)),MAX($E$2:E607)+1,0)</f>
        <v>0</v>
      </c>
      <c r="F608" s="56" t="s">
        <v>684</v>
      </c>
      <c r="H608" s="55" t="str">
        <f ca="1">IFERROR(VLOOKUP(ROWS($H$3:H608),E:F,2,0),"")</f>
        <v/>
      </c>
    </row>
    <row r="609" spans="1:8" x14ac:dyDescent="0.25">
      <c r="A609" s="54">
        <v>4020113009</v>
      </c>
      <c r="B609" s="54">
        <v>40201130</v>
      </c>
      <c r="C609" s="54">
        <f>RIGHT(Table1[[#This Row],[UACS]],2)*1</f>
        <v>9</v>
      </c>
      <c r="D609" s="54">
        <v>40201130</v>
      </c>
      <c r="E609" s="54">
        <f ca="1">IF(ISNUMBER(SEARCH($I$1,F609)),MAX($E$2:E608)+1,0)</f>
        <v>0</v>
      </c>
      <c r="F609" s="56" t="s">
        <v>685</v>
      </c>
      <c r="H609" s="55" t="str">
        <f ca="1">IFERROR(VLOOKUP(ROWS($H$3:H609),E:F,2,0),"")</f>
        <v/>
      </c>
    </row>
    <row r="610" spans="1:8" x14ac:dyDescent="0.25">
      <c r="A610" s="54">
        <v>4020113010</v>
      </c>
      <c r="B610" s="54">
        <v>40201130</v>
      </c>
      <c r="C610" s="54">
        <f>RIGHT(Table1[[#This Row],[UACS]],2)*1</f>
        <v>10</v>
      </c>
      <c r="D610" s="54">
        <v>40201130</v>
      </c>
      <c r="E610" s="54">
        <f ca="1">IF(ISNUMBER(SEARCH($I$1,F610)),MAX($E$2:E609)+1,0)</f>
        <v>0</v>
      </c>
      <c r="F610" s="56" t="s">
        <v>686</v>
      </c>
      <c r="H610" s="55" t="str">
        <f ca="1">IFERROR(VLOOKUP(ROWS($H$3:H610),E:F,2,0),"")</f>
        <v/>
      </c>
    </row>
    <row r="611" spans="1:8" x14ac:dyDescent="0.25">
      <c r="A611" s="54">
        <v>4020113011</v>
      </c>
      <c r="B611" s="54">
        <v>40201130</v>
      </c>
      <c r="C611" s="54">
        <f>RIGHT(Table1[[#This Row],[UACS]],2)*1</f>
        <v>11</v>
      </c>
      <c r="D611" s="54">
        <v>40201130</v>
      </c>
      <c r="E611" s="54">
        <f ca="1">IF(ISNUMBER(SEARCH($I$1,F611)),MAX($E$2:E610)+1,0)</f>
        <v>0</v>
      </c>
      <c r="F611" s="56" t="s">
        <v>687</v>
      </c>
      <c r="H611" s="55" t="str">
        <f ca="1">IFERROR(VLOOKUP(ROWS($H$3:H611),E:F,2,0),"")</f>
        <v/>
      </c>
    </row>
    <row r="612" spans="1:8" x14ac:dyDescent="0.25">
      <c r="A612" s="54">
        <v>4020113012</v>
      </c>
      <c r="B612" s="54">
        <v>40201130</v>
      </c>
      <c r="C612" s="54">
        <f>RIGHT(Table1[[#This Row],[UACS]],2)*1</f>
        <v>12</v>
      </c>
      <c r="D612" s="54">
        <v>40201130</v>
      </c>
      <c r="E612" s="54">
        <f ca="1">IF(ISNUMBER(SEARCH($I$1,F612)),MAX($E$2:E611)+1,0)</f>
        <v>0</v>
      </c>
      <c r="F612" s="56" t="s">
        <v>688</v>
      </c>
      <c r="H612" s="55" t="str">
        <f ca="1">IFERROR(VLOOKUP(ROWS($H$3:H612),E:F,2,0),"")</f>
        <v/>
      </c>
    </row>
    <row r="613" spans="1:8" x14ac:dyDescent="0.25">
      <c r="A613" s="54">
        <v>4020113099</v>
      </c>
      <c r="B613" s="54">
        <v>40201130</v>
      </c>
      <c r="C613" s="54">
        <f>RIGHT(Table1[[#This Row],[UACS]],2)*1</f>
        <v>99</v>
      </c>
      <c r="D613" s="54">
        <v>40201130</v>
      </c>
      <c r="E613" s="54">
        <f ca="1">IF(ISNUMBER(SEARCH($I$1,F613)),MAX($E$2:E612)+1,0)</f>
        <v>0</v>
      </c>
      <c r="F613" s="56" t="s">
        <v>689</v>
      </c>
      <c r="H613" s="55" t="str">
        <f ca="1">IFERROR(VLOOKUP(ROWS($H$3:H613),E:F,2,0),"")</f>
        <v/>
      </c>
    </row>
    <row r="614" spans="1:8" x14ac:dyDescent="0.25">
      <c r="A614" s="54">
        <v>4020114000</v>
      </c>
      <c r="B614" s="54">
        <v>40201140</v>
      </c>
      <c r="C614" s="54">
        <f>RIGHT(Table1[[#This Row],[UACS]],2)*1</f>
        <v>0</v>
      </c>
      <c r="D614" s="54">
        <v>40201140</v>
      </c>
      <c r="E614" s="54">
        <f ca="1">IF(ISNUMBER(SEARCH($I$1,F614)),MAX($E$2:E613)+1,0)</f>
        <v>0</v>
      </c>
      <c r="F614" s="56" t="s">
        <v>690</v>
      </c>
      <c r="H614" s="55" t="str">
        <f ca="1">IFERROR(VLOOKUP(ROWS($H$3:H614),E:F,2,0),"")</f>
        <v/>
      </c>
    </row>
    <row r="615" spans="1:8" x14ac:dyDescent="0.25">
      <c r="A615" s="54">
        <v>4020199001</v>
      </c>
      <c r="B615" s="54">
        <v>40201990</v>
      </c>
      <c r="C615" s="54">
        <f>RIGHT(Table1[[#This Row],[UACS]],2)*1</f>
        <v>1</v>
      </c>
      <c r="D615" s="54">
        <v>40201990</v>
      </c>
      <c r="E615" s="54">
        <f ca="1">IF(ISNUMBER(SEARCH($I$1,F615)),MAX($E$2:E614)+1,0)</f>
        <v>0</v>
      </c>
      <c r="F615" s="56" t="s">
        <v>691</v>
      </c>
      <c r="H615" s="55" t="str">
        <f ca="1">IFERROR(VLOOKUP(ROWS($H$3:H615),E:F,2,0),"")</f>
        <v/>
      </c>
    </row>
    <row r="616" spans="1:8" x14ac:dyDescent="0.25">
      <c r="A616" s="54">
        <v>4020199002</v>
      </c>
      <c r="B616" s="54">
        <v>40201990</v>
      </c>
      <c r="C616" s="54">
        <f>RIGHT(Table1[[#This Row],[UACS]],2)*1</f>
        <v>2</v>
      </c>
      <c r="D616" s="54">
        <v>40201990</v>
      </c>
      <c r="E616" s="54">
        <f ca="1">IF(ISNUMBER(SEARCH($I$1,F616)),MAX($E$2:E615)+1,0)</f>
        <v>0</v>
      </c>
      <c r="F616" s="56" t="s">
        <v>692</v>
      </c>
      <c r="H616" s="55" t="str">
        <f ca="1">IFERROR(VLOOKUP(ROWS($H$3:H616),E:F,2,0),"")</f>
        <v/>
      </c>
    </row>
    <row r="617" spans="1:8" x14ac:dyDescent="0.25">
      <c r="A617" s="54">
        <v>4020199003</v>
      </c>
      <c r="B617" s="54">
        <v>40201990</v>
      </c>
      <c r="C617" s="54">
        <f>RIGHT(Table1[[#This Row],[UACS]],2)*1</f>
        <v>3</v>
      </c>
      <c r="D617" s="54">
        <v>40201990</v>
      </c>
      <c r="E617" s="54">
        <f ca="1">IF(ISNUMBER(SEARCH($I$1,F617)),MAX($E$2:E616)+1,0)</f>
        <v>0</v>
      </c>
      <c r="F617" s="56" t="s">
        <v>693</v>
      </c>
      <c r="H617" s="55" t="str">
        <f ca="1">IFERROR(VLOOKUP(ROWS($H$3:H617),E:F,2,0),"")</f>
        <v/>
      </c>
    </row>
    <row r="618" spans="1:8" x14ac:dyDescent="0.25">
      <c r="A618" s="54">
        <v>4020199004</v>
      </c>
      <c r="B618" s="54">
        <v>40201990</v>
      </c>
      <c r="C618" s="54">
        <f>RIGHT(Table1[[#This Row],[UACS]],2)*1</f>
        <v>4</v>
      </c>
      <c r="D618" s="54">
        <v>40201990</v>
      </c>
      <c r="E618" s="54">
        <f ca="1">IF(ISNUMBER(SEARCH($I$1,F618)),MAX($E$2:E617)+1,0)</f>
        <v>0</v>
      </c>
      <c r="F618" s="56" t="s">
        <v>694</v>
      </c>
      <c r="H618" s="55" t="str">
        <f ca="1">IFERROR(VLOOKUP(ROWS($H$3:H618),E:F,2,0),"")</f>
        <v/>
      </c>
    </row>
    <row r="619" spans="1:8" x14ac:dyDescent="0.25">
      <c r="A619" s="54">
        <v>4020199005</v>
      </c>
      <c r="B619" s="54">
        <v>40201990</v>
      </c>
      <c r="C619" s="54">
        <f>RIGHT(Table1[[#This Row],[UACS]],2)*1</f>
        <v>5</v>
      </c>
      <c r="D619" s="54">
        <v>40201990</v>
      </c>
      <c r="E619" s="54">
        <f ca="1">IF(ISNUMBER(SEARCH($I$1,F619)),MAX($E$2:E618)+1,0)</f>
        <v>0</v>
      </c>
      <c r="F619" s="56" t="s">
        <v>695</v>
      </c>
      <c r="H619" s="55" t="str">
        <f ca="1">IFERROR(VLOOKUP(ROWS($H$3:H619),E:F,2,0),"")</f>
        <v/>
      </c>
    </row>
    <row r="620" spans="1:8" x14ac:dyDescent="0.25">
      <c r="A620" s="54">
        <v>4020199006</v>
      </c>
      <c r="B620" s="54">
        <v>40201990</v>
      </c>
      <c r="C620" s="54">
        <f>RIGHT(Table1[[#This Row],[UACS]],2)*1</f>
        <v>6</v>
      </c>
      <c r="D620" s="54">
        <v>40201990</v>
      </c>
      <c r="E620" s="54">
        <f ca="1">IF(ISNUMBER(SEARCH($I$1,F620)),MAX($E$2:E619)+1,0)</f>
        <v>0</v>
      </c>
      <c r="F620" s="56" t="s">
        <v>696</v>
      </c>
      <c r="H620" s="55" t="str">
        <f ca="1">IFERROR(VLOOKUP(ROWS($H$3:H620),E:F,2,0),"")</f>
        <v/>
      </c>
    </row>
    <row r="621" spans="1:8" x14ac:dyDescent="0.25">
      <c r="A621" s="54">
        <v>4020199099</v>
      </c>
      <c r="B621" s="54">
        <v>40201990</v>
      </c>
      <c r="C621" s="54">
        <f>RIGHT(Table1[[#This Row],[UACS]],2)*1</f>
        <v>99</v>
      </c>
      <c r="D621" s="54">
        <v>40201990</v>
      </c>
      <c r="E621" s="54">
        <f ca="1">IF(ISNUMBER(SEARCH($I$1,F621)),MAX($E$2:E620)+1,0)</f>
        <v>0</v>
      </c>
      <c r="F621" s="56" t="s">
        <v>697</v>
      </c>
      <c r="H621" s="55" t="str">
        <f ca="1">IFERROR(VLOOKUP(ROWS($H$3:H621),E:F,2,0),"")</f>
        <v/>
      </c>
    </row>
    <row r="622" spans="1:8" x14ac:dyDescent="0.25">
      <c r="A622" s="54">
        <v>4020201001</v>
      </c>
      <c r="B622" s="54">
        <v>40202010</v>
      </c>
      <c r="C622" s="54">
        <f>RIGHT(Table1[[#This Row],[UACS]],2)*1</f>
        <v>1</v>
      </c>
      <c r="D622" s="54">
        <v>40202010</v>
      </c>
      <c r="E622" s="54">
        <f ca="1">IF(ISNUMBER(SEARCH($I$1,F622)),MAX($E$2:E621)+1,0)</f>
        <v>0</v>
      </c>
      <c r="F622" s="56" t="s">
        <v>698</v>
      </c>
      <c r="H622" s="55" t="str">
        <f ca="1">IFERROR(VLOOKUP(ROWS($H$3:H622),E:F,2,0),"")</f>
        <v/>
      </c>
    </row>
    <row r="623" spans="1:8" x14ac:dyDescent="0.25">
      <c r="A623" s="54">
        <v>4020201002</v>
      </c>
      <c r="B623" s="54">
        <v>40202010</v>
      </c>
      <c r="C623" s="54">
        <f>RIGHT(Table1[[#This Row],[UACS]],2)*1</f>
        <v>2</v>
      </c>
      <c r="D623" s="54">
        <v>40202010</v>
      </c>
      <c r="E623" s="54">
        <f ca="1">IF(ISNUMBER(SEARCH($I$1,F623)),MAX($E$2:E622)+1,0)</f>
        <v>0</v>
      </c>
      <c r="F623" s="56" t="s">
        <v>699</v>
      </c>
      <c r="H623" s="55" t="str">
        <f ca="1">IFERROR(VLOOKUP(ROWS($H$3:H623),E:F,2,0),"")</f>
        <v/>
      </c>
    </row>
    <row r="624" spans="1:8" x14ac:dyDescent="0.25">
      <c r="A624" s="54">
        <v>4020201003</v>
      </c>
      <c r="B624" s="54">
        <v>40202010</v>
      </c>
      <c r="C624" s="54">
        <f>RIGHT(Table1[[#This Row],[UACS]],2)*1</f>
        <v>3</v>
      </c>
      <c r="D624" s="54">
        <v>40202010</v>
      </c>
      <c r="E624" s="54">
        <f ca="1">IF(ISNUMBER(SEARCH($I$1,F624)),MAX($E$2:E623)+1,0)</f>
        <v>0</v>
      </c>
      <c r="F624" s="56" t="s">
        <v>700</v>
      </c>
      <c r="H624" s="55" t="str">
        <f ca="1">IFERROR(VLOOKUP(ROWS($H$3:H624),E:F,2,0),"")</f>
        <v/>
      </c>
    </row>
    <row r="625" spans="1:8" x14ac:dyDescent="0.25">
      <c r="A625" s="54">
        <v>4020201099</v>
      </c>
      <c r="B625" s="54">
        <v>40202010</v>
      </c>
      <c r="C625" s="54">
        <f>RIGHT(Table1[[#This Row],[UACS]],2)*1</f>
        <v>99</v>
      </c>
      <c r="D625" s="54">
        <v>40202010</v>
      </c>
      <c r="E625" s="54">
        <f ca="1">IF(ISNUMBER(SEARCH($I$1,F625)),MAX($E$2:E624)+1,0)</f>
        <v>0</v>
      </c>
      <c r="F625" s="56" t="s">
        <v>701</v>
      </c>
      <c r="H625" s="55" t="str">
        <f ca="1">IFERROR(VLOOKUP(ROWS($H$3:H625),E:F,2,0),"")</f>
        <v/>
      </c>
    </row>
    <row r="626" spans="1:8" x14ac:dyDescent="0.25">
      <c r="A626" s="54">
        <v>4020202000</v>
      </c>
      <c r="B626" s="54">
        <v>40202020</v>
      </c>
      <c r="C626" s="54">
        <f>RIGHT(Table1[[#This Row],[UACS]],2)*1</f>
        <v>0</v>
      </c>
      <c r="D626" s="54">
        <v>40202020</v>
      </c>
      <c r="E626" s="54">
        <f ca="1">IF(ISNUMBER(SEARCH($I$1,F626)),MAX($E$2:E625)+1,0)</f>
        <v>0</v>
      </c>
      <c r="F626" s="56" t="s">
        <v>702</v>
      </c>
      <c r="H626" s="55" t="str">
        <f ca="1">IFERROR(VLOOKUP(ROWS($H$3:H626),E:F,2,0),"")</f>
        <v/>
      </c>
    </row>
    <row r="627" spans="1:8" x14ac:dyDescent="0.25">
      <c r="A627" s="54">
        <v>4020203000</v>
      </c>
      <c r="B627" s="54">
        <v>40202030</v>
      </c>
      <c r="C627" s="54">
        <f>RIGHT(Table1[[#This Row],[UACS]],2)*1</f>
        <v>0</v>
      </c>
      <c r="D627" s="54">
        <v>40202030</v>
      </c>
      <c r="E627" s="54">
        <f ca="1">IF(ISNUMBER(SEARCH($I$1,F627)),MAX($E$2:E626)+1,0)</f>
        <v>0</v>
      </c>
      <c r="F627" s="56" t="s">
        <v>703</v>
      </c>
      <c r="H627" s="55" t="str">
        <f ca="1">IFERROR(VLOOKUP(ROWS($H$3:H627),E:F,2,0),"")</f>
        <v/>
      </c>
    </row>
    <row r="628" spans="1:8" x14ac:dyDescent="0.25">
      <c r="A628" s="54">
        <v>4020204000</v>
      </c>
      <c r="B628" s="54">
        <v>40202040</v>
      </c>
      <c r="C628" s="54">
        <f>RIGHT(Table1[[#This Row],[UACS]],2)*1</f>
        <v>0</v>
      </c>
      <c r="D628" s="54">
        <v>40202040</v>
      </c>
      <c r="E628" s="54">
        <f ca="1">IF(ISNUMBER(SEARCH($I$1,F628)),MAX($E$2:E627)+1,0)</f>
        <v>0</v>
      </c>
      <c r="F628" s="56" t="s">
        <v>704</v>
      </c>
      <c r="H628" s="55" t="str">
        <f ca="1">IFERROR(VLOOKUP(ROWS($H$3:H628),E:F,2,0),"")</f>
        <v/>
      </c>
    </row>
    <row r="629" spans="1:8" x14ac:dyDescent="0.25">
      <c r="A629" s="54">
        <v>4020205000</v>
      </c>
      <c r="B629" s="54">
        <v>40202050</v>
      </c>
      <c r="C629" s="54">
        <f>RIGHT(Table1[[#This Row],[UACS]],2)*1</f>
        <v>0</v>
      </c>
      <c r="D629" s="54">
        <v>40202050</v>
      </c>
      <c r="E629" s="54">
        <f ca="1">IF(ISNUMBER(SEARCH($I$1,F629)),MAX($E$2:E628)+1,0)</f>
        <v>0</v>
      </c>
      <c r="F629" s="56" t="s">
        <v>705</v>
      </c>
      <c r="H629" s="55" t="str">
        <f ca="1">IFERROR(VLOOKUP(ROWS($H$3:H629),E:F,2,0),"")</f>
        <v/>
      </c>
    </row>
    <row r="630" spans="1:8" x14ac:dyDescent="0.25">
      <c r="A630" s="54">
        <v>4020206000</v>
      </c>
      <c r="B630" s="54">
        <v>40202060</v>
      </c>
      <c r="C630" s="54">
        <f>RIGHT(Table1[[#This Row],[UACS]],2)*1</f>
        <v>0</v>
      </c>
      <c r="D630" s="54">
        <v>40202060</v>
      </c>
      <c r="E630" s="54">
        <f ca="1">IF(ISNUMBER(SEARCH($I$1,F630)),MAX($E$2:E629)+1,0)</f>
        <v>0</v>
      </c>
      <c r="F630" s="56" t="s">
        <v>706</v>
      </c>
      <c r="H630" s="55" t="str">
        <f ca="1">IFERROR(VLOOKUP(ROWS($H$3:H630),E:F,2,0),"")</f>
        <v/>
      </c>
    </row>
    <row r="631" spans="1:8" x14ac:dyDescent="0.25">
      <c r="A631" s="54">
        <v>4020207000</v>
      </c>
      <c r="B631" s="54">
        <v>40202070</v>
      </c>
      <c r="C631" s="54">
        <f>RIGHT(Table1[[#This Row],[UACS]],2)*1</f>
        <v>0</v>
      </c>
      <c r="D631" s="54">
        <v>40202070</v>
      </c>
      <c r="E631" s="54">
        <f ca="1">IF(ISNUMBER(SEARCH($I$1,F631)),MAX($E$2:E630)+1,0)</f>
        <v>0</v>
      </c>
      <c r="F631" s="56" t="s">
        <v>707</v>
      </c>
      <c r="H631" s="55" t="str">
        <f ca="1">IFERROR(VLOOKUP(ROWS($H$3:H631),E:F,2,0),"")</f>
        <v/>
      </c>
    </row>
    <row r="632" spans="1:8" x14ac:dyDescent="0.25">
      <c r="A632" s="54">
        <v>4020208000</v>
      </c>
      <c r="B632" s="54">
        <v>40202080</v>
      </c>
      <c r="C632" s="54">
        <f>RIGHT(Table1[[#This Row],[UACS]],2)*1</f>
        <v>0</v>
      </c>
      <c r="D632" s="54">
        <v>40202080</v>
      </c>
      <c r="E632" s="54">
        <f ca="1">IF(ISNUMBER(SEARCH($I$1,F632)),MAX($E$2:E631)+1,0)</f>
        <v>0</v>
      </c>
      <c r="F632" s="56" t="s">
        <v>708</v>
      </c>
      <c r="H632" s="55" t="str">
        <f ca="1">IFERROR(VLOOKUP(ROWS($H$3:H632),E:F,2,0),"")</f>
        <v/>
      </c>
    </row>
    <row r="633" spans="1:8" x14ac:dyDescent="0.25">
      <c r="A633" s="54">
        <v>4020209000</v>
      </c>
      <c r="B633" s="54">
        <v>40202090</v>
      </c>
      <c r="C633" s="54">
        <f>RIGHT(Table1[[#This Row],[UACS]],2)*1</f>
        <v>0</v>
      </c>
      <c r="D633" s="54">
        <v>40202090</v>
      </c>
      <c r="E633" s="54">
        <f ca="1">IF(ISNUMBER(SEARCH($I$1,F633)),MAX($E$2:E632)+1,0)</f>
        <v>0</v>
      </c>
      <c r="F633" s="56" t="s">
        <v>709</v>
      </c>
      <c r="H633" s="55" t="str">
        <f ca="1">IFERROR(VLOOKUP(ROWS($H$3:H633),E:F,2,0),"")</f>
        <v/>
      </c>
    </row>
    <row r="634" spans="1:8" x14ac:dyDescent="0.25">
      <c r="A634" s="54">
        <v>4020210000</v>
      </c>
      <c r="B634" s="54">
        <v>40202100</v>
      </c>
      <c r="C634" s="54">
        <f>RIGHT(Table1[[#This Row],[UACS]],2)*1</f>
        <v>0</v>
      </c>
      <c r="D634" s="54">
        <v>40202100</v>
      </c>
      <c r="E634" s="54">
        <f ca="1">IF(ISNUMBER(SEARCH($I$1,F634)),MAX($E$2:E633)+1,0)</f>
        <v>0</v>
      </c>
      <c r="F634" s="56" t="s">
        <v>710</v>
      </c>
      <c r="H634" s="55" t="str">
        <f ca="1">IFERROR(VLOOKUP(ROWS($H$3:H634),E:F,2,0),"")</f>
        <v/>
      </c>
    </row>
    <row r="635" spans="1:8" x14ac:dyDescent="0.25">
      <c r="A635" s="54">
        <v>4020211000</v>
      </c>
      <c r="B635" s="54">
        <v>40202110</v>
      </c>
      <c r="C635" s="54">
        <f>RIGHT(Table1[[#This Row],[UACS]],2)*1</f>
        <v>0</v>
      </c>
      <c r="D635" s="54">
        <v>40202110</v>
      </c>
      <c r="E635" s="54">
        <f ca="1">IF(ISNUMBER(SEARCH($I$1,F635)),MAX($E$2:E634)+1,0)</f>
        <v>0</v>
      </c>
      <c r="F635" s="56" t="s">
        <v>711</v>
      </c>
      <c r="H635" s="55" t="str">
        <f ca="1">IFERROR(VLOOKUP(ROWS($H$3:H635),E:F,2,0),"")</f>
        <v/>
      </c>
    </row>
    <row r="636" spans="1:8" x14ac:dyDescent="0.25">
      <c r="A636" s="54">
        <v>4020212000</v>
      </c>
      <c r="B636" s="54">
        <v>40202120</v>
      </c>
      <c r="C636" s="54">
        <f>RIGHT(Table1[[#This Row],[UACS]],2)*1</f>
        <v>0</v>
      </c>
      <c r="D636" s="54">
        <v>40202120</v>
      </c>
      <c r="E636" s="54">
        <f ca="1">IF(ISNUMBER(SEARCH($I$1,F636)),MAX($E$2:E635)+1,0)</f>
        <v>0</v>
      </c>
      <c r="F636" s="56" t="s">
        <v>712</v>
      </c>
      <c r="H636" s="55" t="str">
        <f ca="1">IFERROR(VLOOKUP(ROWS($H$3:H636),E:F,2,0),"")</f>
        <v/>
      </c>
    </row>
    <row r="637" spans="1:8" x14ac:dyDescent="0.25">
      <c r="A637" s="54">
        <v>4020213000</v>
      </c>
      <c r="B637" s="54">
        <v>40202130</v>
      </c>
      <c r="C637" s="54">
        <f>RIGHT(Table1[[#This Row],[UACS]],2)*1</f>
        <v>0</v>
      </c>
      <c r="D637" s="54">
        <v>40202130</v>
      </c>
      <c r="E637" s="54">
        <f ca="1">IF(ISNUMBER(SEARCH($I$1,F637)),MAX($E$2:E636)+1,0)</f>
        <v>0</v>
      </c>
      <c r="F637" s="56" t="s">
        <v>713</v>
      </c>
      <c r="H637" s="55" t="str">
        <f ca="1">IFERROR(VLOOKUP(ROWS($H$3:H637),E:F,2,0),"")</f>
        <v/>
      </c>
    </row>
    <row r="638" spans="1:8" x14ac:dyDescent="0.25">
      <c r="A638" s="54">
        <v>4020214000</v>
      </c>
      <c r="B638" s="54">
        <v>40202140</v>
      </c>
      <c r="C638" s="54">
        <f>RIGHT(Table1[[#This Row],[UACS]],2)*1</f>
        <v>0</v>
      </c>
      <c r="D638" s="54">
        <v>40202140</v>
      </c>
      <c r="E638" s="54">
        <f ca="1">IF(ISNUMBER(SEARCH($I$1,F638)),MAX($E$2:E637)+1,0)</f>
        <v>0</v>
      </c>
      <c r="F638" s="56" t="s">
        <v>714</v>
      </c>
      <c r="H638" s="55" t="str">
        <f ca="1">IFERROR(VLOOKUP(ROWS($H$3:H638),E:F,2,0),"")</f>
        <v/>
      </c>
    </row>
    <row r="639" spans="1:8" x14ac:dyDescent="0.25">
      <c r="A639" s="54">
        <v>4020215000</v>
      </c>
      <c r="B639" s="54">
        <v>40202150</v>
      </c>
      <c r="C639" s="54">
        <f>RIGHT(Table1[[#This Row],[UACS]],2)*1</f>
        <v>0</v>
      </c>
      <c r="D639" s="54">
        <v>40202150</v>
      </c>
      <c r="E639" s="54">
        <f ca="1">IF(ISNUMBER(SEARCH($I$1,F639)),MAX($E$2:E638)+1,0)</f>
        <v>0</v>
      </c>
      <c r="F639" s="56" t="s">
        <v>715</v>
      </c>
      <c r="H639" s="55" t="str">
        <f ca="1">IFERROR(VLOOKUP(ROWS($H$3:H639),E:F,2,0),"")</f>
        <v/>
      </c>
    </row>
    <row r="640" spans="1:8" x14ac:dyDescent="0.25">
      <c r="A640" s="54">
        <v>4020216001</v>
      </c>
      <c r="B640" s="54">
        <v>40202160</v>
      </c>
      <c r="C640" s="54">
        <f>RIGHT(Table1[[#This Row],[UACS]],2)*1</f>
        <v>1</v>
      </c>
      <c r="D640" s="54">
        <v>40202160</v>
      </c>
      <c r="E640" s="54">
        <f ca="1">IF(ISNUMBER(SEARCH($I$1,F640)),MAX($E$2:E639)+1,0)</f>
        <v>0</v>
      </c>
      <c r="F640" s="56" t="s">
        <v>716</v>
      </c>
      <c r="H640" s="55" t="str">
        <f ca="1">IFERROR(VLOOKUP(ROWS($H$3:H640),E:F,2,0),"")</f>
        <v/>
      </c>
    </row>
    <row r="641" spans="1:8" x14ac:dyDescent="0.25">
      <c r="A641" s="54">
        <v>4020216002</v>
      </c>
      <c r="B641" s="54">
        <v>40202160</v>
      </c>
      <c r="C641" s="54">
        <f>RIGHT(Table1[[#This Row],[UACS]],2)*1</f>
        <v>2</v>
      </c>
      <c r="D641" s="54">
        <v>40202160</v>
      </c>
      <c r="E641" s="54">
        <f ca="1">IF(ISNUMBER(SEARCH($I$1,F641)),MAX($E$2:E640)+1,0)</f>
        <v>0</v>
      </c>
      <c r="F641" s="56" t="s">
        <v>717</v>
      </c>
      <c r="H641" s="55" t="str">
        <f ca="1">IFERROR(VLOOKUP(ROWS($H$3:H641),E:F,2,0),"")</f>
        <v/>
      </c>
    </row>
    <row r="642" spans="1:8" x14ac:dyDescent="0.25">
      <c r="A642" s="54">
        <v>4020216003</v>
      </c>
      <c r="B642" s="54">
        <v>40202160</v>
      </c>
      <c r="C642" s="54">
        <f>RIGHT(Table1[[#This Row],[UACS]],2)*1</f>
        <v>3</v>
      </c>
      <c r="D642" s="54">
        <v>40202160</v>
      </c>
      <c r="E642" s="54">
        <f ca="1">IF(ISNUMBER(SEARCH($I$1,F642)),MAX($E$2:E641)+1,0)</f>
        <v>0</v>
      </c>
      <c r="F642" s="56" t="s">
        <v>718</v>
      </c>
      <c r="H642" s="55" t="str">
        <f ca="1">IFERROR(VLOOKUP(ROWS($H$3:H642),E:F,2,0),"")</f>
        <v/>
      </c>
    </row>
    <row r="643" spans="1:8" x14ac:dyDescent="0.25">
      <c r="A643" s="54">
        <v>4020216004</v>
      </c>
      <c r="B643" s="54">
        <v>40202160</v>
      </c>
      <c r="C643" s="54">
        <f>RIGHT(Table1[[#This Row],[UACS]],2)*1</f>
        <v>4</v>
      </c>
      <c r="D643" s="54">
        <v>40202160</v>
      </c>
      <c r="E643" s="54">
        <f ca="1">IF(ISNUMBER(SEARCH($I$1,F643)),MAX($E$2:E642)+1,0)</f>
        <v>0</v>
      </c>
      <c r="F643" s="56" t="s">
        <v>719</v>
      </c>
      <c r="H643" s="55" t="str">
        <f ca="1">IFERROR(VLOOKUP(ROWS($H$3:H643),E:F,2,0),"")</f>
        <v/>
      </c>
    </row>
    <row r="644" spans="1:8" x14ac:dyDescent="0.25">
      <c r="A644" s="54">
        <v>4020216005</v>
      </c>
      <c r="B644" s="54">
        <v>40202160</v>
      </c>
      <c r="C644" s="54">
        <f>RIGHT(Table1[[#This Row],[UACS]],2)*1</f>
        <v>5</v>
      </c>
      <c r="D644" s="54">
        <v>40202160</v>
      </c>
      <c r="E644" s="54">
        <f ca="1">IF(ISNUMBER(SEARCH($I$1,F644)),MAX($E$2:E643)+1,0)</f>
        <v>0</v>
      </c>
      <c r="F644" s="56" t="s">
        <v>720</v>
      </c>
      <c r="H644" s="55" t="str">
        <f ca="1">IFERROR(VLOOKUP(ROWS($H$3:H644),E:F,2,0),"")</f>
        <v/>
      </c>
    </row>
    <row r="645" spans="1:8" x14ac:dyDescent="0.25">
      <c r="A645" s="54">
        <v>4020216006</v>
      </c>
      <c r="B645" s="54">
        <v>40202160</v>
      </c>
      <c r="C645" s="54">
        <f>RIGHT(Table1[[#This Row],[UACS]],2)*1</f>
        <v>6</v>
      </c>
      <c r="D645" s="54">
        <v>40202160</v>
      </c>
      <c r="E645" s="54">
        <f ca="1">IF(ISNUMBER(SEARCH($I$1,F645)),MAX($E$2:E644)+1,0)</f>
        <v>0</v>
      </c>
      <c r="F645" s="56" t="s">
        <v>721</v>
      </c>
      <c r="H645" s="55" t="str">
        <f ca="1">IFERROR(VLOOKUP(ROWS($H$3:H645),E:F,2,0),"")</f>
        <v/>
      </c>
    </row>
    <row r="646" spans="1:8" x14ac:dyDescent="0.25">
      <c r="A646" s="54">
        <v>4020216007</v>
      </c>
      <c r="B646" s="54">
        <v>40202160</v>
      </c>
      <c r="C646" s="54">
        <f>RIGHT(Table1[[#This Row],[UACS]],2)*1</f>
        <v>7</v>
      </c>
      <c r="D646" s="54">
        <v>40202160</v>
      </c>
      <c r="E646" s="54">
        <f ca="1">IF(ISNUMBER(SEARCH($I$1,F646)),MAX($E$2:E645)+1,0)</f>
        <v>0</v>
      </c>
      <c r="F646" s="56" t="s">
        <v>722</v>
      </c>
      <c r="H646" s="55" t="str">
        <f ca="1">IFERROR(VLOOKUP(ROWS($H$3:H646),E:F,2,0),"")</f>
        <v/>
      </c>
    </row>
    <row r="647" spans="1:8" x14ac:dyDescent="0.25">
      <c r="A647" s="54">
        <v>4020216008</v>
      </c>
      <c r="B647" s="54">
        <v>40202160</v>
      </c>
      <c r="C647" s="54">
        <f>RIGHT(Table1[[#This Row],[UACS]],2)*1</f>
        <v>8</v>
      </c>
      <c r="D647" s="54">
        <v>40202160</v>
      </c>
      <c r="E647" s="54">
        <f ca="1">IF(ISNUMBER(SEARCH($I$1,F647)),MAX($E$2:E646)+1,0)</f>
        <v>0</v>
      </c>
      <c r="F647" s="56" t="s">
        <v>723</v>
      </c>
      <c r="H647" s="55" t="str">
        <f ca="1">IFERROR(VLOOKUP(ROWS($H$3:H647),E:F,2,0),"")</f>
        <v/>
      </c>
    </row>
    <row r="648" spans="1:8" x14ac:dyDescent="0.25">
      <c r="A648" s="54">
        <v>4020216099</v>
      </c>
      <c r="B648" s="54">
        <v>40202160</v>
      </c>
      <c r="C648" s="54">
        <f>RIGHT(Table1[[#This Row],[UACS]],2)*1</f>
        <v>99</v>
      </c>
      <c r="D648" s="54">
        <v>40202160</v>
      </c>
      <c r="E648" s="54">
        <f ca="1">IF(ISNUMBER(SEARCH($I$1,F648)),MAX($E$2:E647)+1,0)</f>
        <v>0</v>
      </c>
      <c r="F648" s="56" t="s">
        <v>724</v>
      </c>
      <c r="H648" s="55" t="str">
        <f ca="1">IFERROR(VLOOKUP(ROWS($H$3:H648),E:F,2,0),"")</f>
        <v/>
      </c>
    </row>
    <row r="649" spans="1:8" x14ac:dyDescent="0.25">
      <c r="A649" s="54">
        <v>4020216100</v>
      </c>
      <c r="B649" s="54">
        <v>40202161</v>
      </c>
      <c r="C649" s="54">
        <f>RIGHT(Table1[[#This Row],[UACS]],2)*1</f>
        <v>0</v>
      </c>
      <c r="D649" s="54">
        <v>40202161</v>
      </c>
      <c r="E649" s="54">
        <f ca="1">IF(ISNUMBER(SEARCH($I$1,F649)),MAX($E$2:E648)+1,0)</f>
        <v>0</v>
      </c>
      <c r="F649" s="56" t="s">
        <v>725</v>
      </c>
      <c r="H649" s="55" t="str">
        <f ca="1">IFERROR(VLOOKUP(ROWS($H$3:H649),E:F,2,0),"")</f>
        <v/>
      </c>
    </row>
    <row r="650" spans="1:8" x14ac:dyDescent="0.25">
      <c r="A650" s="54">
        <v>4020217001</v>
      </c>
      <c r="B650" s="54">
        <v>40202170</v>
      </c>
      <c r="C650" s="54">
        <f>RIGHT(Table1[[#This Row],[UACS]],2)*1</f>
        <v>1</v>
      </c>
      <c r="D650" s="54">
        <v>40202170</v>
      </c>
      <c r="E650" s="54">
        <f ca="1">IF(ISNUMBER(SEARCH($I$1,F650)),MAX($E$2:E649)+1,0)</f>
        <v>0</v>
      </c>
      <c r="F650" s="56" t="s">
        <v>726</v>
      </c>
      <c r="H650" s="55" t="str">
        <f ca="1">IFERROR(VLOOKUP(ROWS($H$3:H650),E:F,2,0),"")</f>
        <v/>
      </c>
    </row>
    <row r="651" spans="1:8" x14ac:dyDescent="0.25">
      <c r="A651" s="54">
        <v>4020217002</v>
      </c>
      <c r="B651" s="54">
        <v>40202170</v>
      </c>
      <c r="C651" s="54">
        <f>RIGHT(Table1[[#This Row],[UACS]],2)*1</f>
        <v>2</v>
      </c>
      <c r="D651" s="54">
        <v>40202170</v>
      </c>
      <c r="E651" s="54">
        <f ca="1">IF(ISNUMBER(SEARCH($I$1,F651)),MAX($E$2:E650)+1,0)</f>
        <v>0</v>
      </c>
      <c r="F651" s="56" t="s">
        <v>727</v>
      </c>
      <c r="H651" s="55" t="str">
        <f ca="1">IFERROR(VLOOKUP(ROWS($H$3:H651),E:F,2,0),"")</f>
        <v/>
      </c>
    </row>
    <row r="652" spans="1:8" x14ac:dyDescent="0.25">
      <c r="A652" s="54">
        <v>4020217003</v>
      </c>
      <c r="B652" s="54">
        <v>40202170</v>
      </c>
      <c r="C652" s="54">
        <f>RIGHT(Table1[[#This Row],[UACS]],2)*1</f>
        <v>3</v>
      </c>
      <c r="D652" s="54">
        <v>40202170</v>
      </c>
      <c r="E652" s="54">
        <f ca="1">IF(ISNUMBER(SEARCH($I$1,F652)),MAX($E$2:E651)+1,0)</f>
        <v>0</v>
      </c>
      <c r="F652" s="56" t="s">
        <v>728</v>
      </c>
      <c r="H652" s="55" t="str">
        <f ca="1">IFERROR(VLOOKUP(ROWS($H$3:H652),E:F,2,0),"")</f>
        <v/>
      </c>
    </row>
    <row r="653" spans="1:8" x14ac:dyDescent="0.25">
      <c r="A653" s="54">
        <v>4020217004</v>
      </c>
      <c r="B653" s="54">
        <v>40202170</v>
      </c>
      <c r="C653" s="54">
        <f>RIGHT(Table1[[#This Row],[UACS]],2)*1</f>
        <v>4</v>
      </c>
      <c r="D653" s="54">
        <v>40202170</v>
      </c>
      <c r="E653" s="54">
        <f ca="1">IF(ISNUMBER(SEARCH($I$1,F653)),MAX($E$2:E652)+1,0)</f>
        <v>0</v>
      </c>
      <c r="F653" s="56" t="s">
        <v>729</v>
      </c>
      <c r="H653" s="55" t="str">
        <f ca="1">IFERROR(VLOOKUP(ROWS($H$3:H653),E:F,2,0),"")</f>
        <v/>
      </c>
    </row>
    <row r="654" spans="1:8" x14ac:dyDescent="0.25">
      <c r="A654" s="54">
        <v>4020217005</v>
      </c>
      <c r="B654" s="54">
        <v>40202170</v>
      </c>
      <c r="C654" s="54">
        <f>RIGHT(Table1[[#This Row],[UACS]],2)*1</f>
        <v>5</v>
      </c>
      <c r="D654" s="54">
        <v>40202170</v>
      </c>
      <c r="E654" s="54">
        <f ca="1">IF(ISNUMBER(SEARCH($I$1,F654)),MAX($E$2:E653)+1,0)</f>
        <v>0</v>
      </c>
      <c r="F654" s="56" t="s">
        <v>730</v>
      </c>
      <c r="H654" s="55" t="str">
        <f ca="1">IFERROR(VLOOKUP(ROWS($H$3:H654),E:F,2,0),"")</f>
        <v/>
      </c>
    </row>
    <row r="655" spans="1:8" x14ac:dyDescent="0.25">
      <c r="A655" s="54">
        <v>4020217006</v>
      </c>
      <c r="B655" s="54">
        <v>40202170</v>
      </c>
      <c r="C655" s="54">
        <f>RIGHT(Table1[[#This Row],[UACS]],2)*1</f>
        <v>6</v>
      </c>
      <c r="D655" s="54">
        <v>40202170</v>
      </c>
      <c r="E655" s="54">
        <f ca="1">IF(ISNUMBER(SEARCH($I$1,F655)),MAX($E$2:E654)+1,0)</f>
        <v>0</v>
      </c>
      <c r="F655" s="56" t="s">
        <v>731</v>
      </c>
      <c r="H655" s="55" t="str">
        <f ca="1">IFERROR(VLOOKUP(ROWS($H$3:H655),E:F,2,0),"")</f>
        <v/>
      </c>
    </row>
    <row r="656" spans="1:8" x14ac:dyDescent="0.25">
      <c r="A656" s="54">
        <v>4020217007</v>
      </c>
      <c r="B656" s="54">
        <v>40202170</v>
      </c>
      <c r="C656" s="54">
        <f>RIGHT(Table1[[#This Row],[UACS]],2)*1</f>
        <v>7</v>
      </c>
      <c r="D656" s="54">
        <v>40202170</v>
      </c>
      <c r="E656" s="54">
        <f ca="1">IF(ISNUMBER(SEARCH($I$1,F656)),MAX($E$2:E655)+1,0)</f>
        <v>0</v>
      </c>
      <c r="F656" s="56" t="s">
        <v>732</v>
      </c>
      <c r="H656" s="55" t="str">
        <f ca="1">IFERROR(VLOOKUP(ROWS($H$3:H656),E:F,2,0),"")</f>
        <v/>
      </c>
    </row>
    <row r="657" spans="1:8" x14ac:dyDescent="0.25">
      <c r="A657" s="54">
        <v>4020217008</v>
      </c>
      <c r="B657" s="54">
        <v>40202170</v>
      </c>
      <c r="C657" s="54">
        <f>RIGHT(Table1[[#This Row],[UACS]],2)*1</f>
        <v>8</v>
      </c>
      <c r="D657" s="54">
        <v>40202170</v>
      </c>
      <c r="E657" s="54">
        <f ca="1">IF(ISNUMBER(SEARCH($I$1,F657)),MAX($E$2:E656)+1,0)</f>
        <v>0</v>
      </c>
      <c r="F657" s="56" t="s">
        <v>733</v>
      </c>
      <c r="H657" s="55" t="str">
        <f ca="1">IFERROR(VLOOKUP(ROWS($H$3:H657),E:F,2,0),"")</f>
        <v/>
      </c>
    </row>
    <row r="658" spans="1:8" x14ac:dyDescent="0.25">
      <c r="A658" s="54">
        <v>4020217009</v>
      </c>
      <c r="B658" s="54">
        <v>40202170</v>
      </c>
      <c r="C658" s="54">
        <f>RIGHT(Table1[[#This Row],[UACS]],2)*1</f>
        <v>9</v>
      </c>
      <c r="D658" s="54">
        <v>40202170</v>
      </c>
      <c r="E658" s="54">
        <f ca="1">IF(ISNUMBER(SEARCH($I$1,F658)),MAX($E$2:E657)+1,0)</f>
        <v>0</v>
      </c>
      <c r="F658" s="56" t="s">
        <v>734</v>
      </c>
      <c r="H658" s="55" t="str">
        <f ca="1">IFERROR(VLOOKUP(ROWS($H$3:H658),E:F,2,0),"")</f>
        <v/>
      </c>
    </row>
    <row r="659" spans="1:8" x14ac:dyDescent="0.25">
      <c r="A659" s="54">
        <v>4020217010</v>
      </c>
      <c r="B659" s="54">
        <v>40202170</v>
      </c>
      <c r="C659" s="54">
        <f>RIGHT(Table1[[#This Row],[UACS]],2)*1</f>
        <v>10</v>
      </c>
      <c r="D659" s="54">
        <v>40202170</v>
      </c>
      <c r="E659" s="54">
        <f ca="1">IF(ISNUMBER(SEARCH($I$1,F659)),MAX($E$2:E658)+1,0)</f>
        <v>0</v>
      </c>
      <c r="F659" s="56" t="s">
        <v>735</v>
      </c>
      <c r="H659" s="55" t="str">
        <f ca="1">IFERROR(VLOOKUP(ROWS($H$3:H659),E:F,2,0),"")</f>
        <v/>
      </c>
    </row>
    <row r="660" spans="1:8" x14ac:dyDescent="0.25">
      <c r="A660" s="54">
        <v>4020217011</v>
      </c>
      <c r="B660" s="54">
        <v>40202170</v>
      </c>
      <c r="C660" s="54">
        <f>RIGHT(Table1[[#This Row],[UACS]],2)*1</f>
        <v>11</v>
      </c>
      <c r="D660" s="54">
        <v>40202170</v>
      </c>
      <c r="E660" s="54">
        <f ca="1">IF(ISNUMBER(SEARCH($I$1,F660)),MAX($E$2:E659)+1,0)</f>
        <v>0</v>
      </c>
      <c r="F660" s="56" t="s">
        <v>736</v>
      </c>
      <c r="H660" s="55" t="str">
        <f ca="1">IFERROR(VLOOKUP(ROWS($H$3:H660),E:F,2,0),"")</f>
        <v/>
      </c>
    </row>
    <row r="661" spans="1:8" x14ac:dyDescent="0.25">
      <c r="A661" s="54">
        <v>4020217099</v>
      </c>
      <c r="B661" s="54">
        <v>40202170</v>
      </c>
      <c r="C661" s="54">
        <f>RIGHT(Table1[[#This Row],[UACS]],2)*1</f>
        <v>99</v>
      </c>
      <c r="D661" s="54">
        <v>40202170</v>
      </c>
      <c r="E661" s="54">
        <f ca="1">IF(ISNUMBER(SEARCH($I$1,F661)),MAX($E$2:E660)+1,0)</f>
        <v>0</v>
      </c>
      <c r="F661" s="56" t="s">
        <v>737</v>
      </c>
      <c r="H661" s="55" t="str">
        <f ca="1">IFERROR(VLOOKUP(ROWS($H$3:H661),E:F,2,0),"")</f>
        <v/>
      </c>
    </row>
    <row r="662" spans="1:8" x14ac:dyDescent="0.25">
      <c r="A662" s="54">
        <v>4020218000</v>
      </c>
      <c r="B662" s="54">
        <v>40202180</v>
      </c>
      <c r="C662" s="54">
        <f>RIGHT(Table1[[#This Row],[UACS]],2)*1</f>
        <v>0</v>
      </c>
      <c r="D662" s="54">
        <v>40202180</v>
      </c>
      <c r="E662" s="54">
        <f ca="1">IF(ISNUMBER(SEARCH($I$1,F662)),MAX($E$2:E661)+1,0)</f>
        <v>0</v>
      </c>
      <c r="F662" s="56" t="s">
        <v>738</v>
      </c>
      <c r="H662" s="55" t="str">
        <f ca="1">IFERROR(VLOOKUP(ROWS($H$3:H662),E:F,2,0),"")</f>
        <v/>
      </c>
    </row>
    <row r="663" spans="1:8" x14ac:dyDescent="0.25">
      <c r="A663" s="54">
        <v>4020219000</v>
      </c>
      <c r="B663" s="54">
        <v>40202190</v>
      </c>
      <c r="C663" s="54">
        <f>RIGHT(Table1[[#This Row],[UACS]],2)*1</f>
        <v>0</v>
      </c>
      <c r="D663" s="54">
        <v>40202190</v>
      </c>
      <c r="E663" s="54">
        <f ca="1">IF(ISNUMBER(SEARCH($I$1,F663)),MAX($E$2:E662)+1,0)</f>
        <v>0</v>
      </c>
      <c r="F663" s="56" t="s">
        <v>739</v>
      </c>
      <c r="H663" s="55" t="str">
        <f ca="1">IFERROR(VLOOKUP(ROWS($H$3:H663),E:F,2,0),"")</f>
        <v/>
      </c>
    </row>
    <row r="664" spans="1:8" x14ac:dyDescent="0.25">
      <c r="A664" s="54">
        <v>4020220000</v>
      </c>
      <c r="B664" s="54">
        <v>40202200</v>
      </c>
      <c r="C664" s="54">
        <f>RIGHT(Table1[[#This Row],[UACS]],2)*1</f>
        <v>0</v>
      </c>
      <c r="D664" s="54">
        <v>40202200</v>
      </c>
      <c r="E664" s="54">
        <f ca="1">IF(ISNUMBER(SEARCH($I$1,F664)),MAX($E$2:E663)+1,0)</f>
        <v>0</v>
      </c>
      <c r="F664" s="56" t="s">
        <v>740</v>
      </c>
      <c r="H664" s="55" t="str">
        <f ca="1">IFERROR(VLOOKUP(ROWS($H$3:H664),E:F,2,0),"")</f>
        <v/>
      </c>
    </row>
    <row r="665" spans="1:8" x14ac:dyDescent="0.25">
      <c r="A665" s="54">
        <v>4020221001</v>
      </c>
      <c r="B665" s="54">
        <v>40202210</v>
      </c>
      <c r="C665" s="54">
        <f>RIGHT(Table1[[#This Row],[UACS]],2)*1</f>
        <v>1</v>
      </c>
      <c r="D665" s="54">
        <v>40202210</v>
      </c>
      <c r="E665" s="54">
        <f ca="1">IF(ISNUMBER(SEARCH($I$1,F665)),MAX($E$2:E664)+1,0)</f>
        <v>0</v>
      </c>
      <c r="F665" s="56" t="s">
        <v>741</v>
      </c>
      <c r="H665" s="55" t="str">
        <f ca="1">IFERROR(VLOOKUP(ROWS($H$3:H665),E:F,2,0),"")</f>
        <v/>
      </c>
    </row>
    <row r="666" spans="1:8" x14ac:dyDescent="0.25">
      <c r="A666" s="54">
        <v>4020221002</v>
      </c>
      <c r="B666" s="54">
        <v>40202210</v>
      </c>
      <c r="C666" s="54">
        <f>RIGHT(Table1[[#This Row],[UACS]],2)*1</f>
        <v>2</v>
      </c>
      <c r="D666" s="54">
        <v>40202210</v>
      </c>
      <c r="E666" s="54">
        <f ca="1">IF(ISNUMBER(SEARCH($I$1,F666)),MAX($E$2:E665)+1,0)</f>
        <v>0</v>
      </c>
      <c r="F666" s="56" t="s">
        <v>742</v>
      </c>
      <c r="H666" s="55" t="str">
        <f ca="1">IFERROR(VLOOKUP(ROWS($H$3:H666),E:F,2,0),"")</f>
        <v/>
      </c>
    </row>
    <row r="667" spans="1:8" x14ac:dyDescent="0.25">
      <c r="A667" s="54">
        <v>4020221003</v>
      </c>
      <c r="B667" s="54">
        <v>40202210</v>
      </c>
      <c r="C667" s="54">
        <f>RIGHT(Table1[[#This Row],[UACS]],2)*1</f>
        <v>3</v>
      </c>
      <c r="D667" s="54">
        <v>40202210</v>
      </c>
      <c r="E667" s="54">
        <f ca="1">IF(ISNUMBER(SEARCH($I$1,F667)),MAX($E$2:E666)+1,0)</f>
        <v>0</v>
      </c>
      <c r="F667" s="56" t="s">
        <v>743</v>
      </c>
      <c r="H667" s="55" t="str">
        <f ca="1">IFERROR(VLOOKUP(ROWS($H$3:H667),E:F,2,0),"")</f>
        <v/>
      </c>
    </row>
    <row r="668" spans="1:8" x14ac:dyDescent="0.25">
      <c r="A668" s="54">
        <v>4020222000</v>
      </c>
      <c r="B668" s="54">
        <v>40202220</v>
      </c>
      <c r="C668" s="54">
        <f>RIGHT(Table1[[#This Row],[UACS]],2)*1</f>
        <v>0</v>
      </c>
      <c r="D668" s="54">
        <v>40202220</v>
      </c>
      <c r="E668" s="54">
        <f ca="1">IF(ISNUMBER(SEARCH($I$1,F668)),MAX($E$2:E667)+1,0)</f>
        <v>0</v>
      </c>
      <c r="F668" s="56" t="s">
        <v>744</v>
      </c>
      <c r="H668" s="55" t="str">
        <f ca="1">IFERROR(VLOOKUP(ROWS($H$3:H668),E:F,2,0),"")</f>
        <v/>
      </c>
    </row>
    <row r="669" spans="1:8" x14ac:dyDescent="0.25">
      <c r="A669" s="54">
        <v>4020223000</v>
      </c>
      <c r="B669" s="54">
        <v>40202230</v>
      </c>
      <c r="C669" s="54">
        <f>RIGHT(Table1[[#This Row],[UACS]],2)*1</f>
        <v>0</v>
      </c>
      <c r="D669" s="54">
        <v>40202230</v>
      </c>
      <c r="E669" s="54">
        <f ca="1">IF(ISNUMBER(SEARCH($I$1,F669)),MAX($E$2:E668)+1,0)</f>
        <v>0</v>
      </c>
      <c r="F669" s="56" t="s">
        <v>745</v>
      </c>
      <c r="H669" s="55" t="str">
        <f ca="1">IFERROR(VLOOKUP(ROWS($H$3:H669),E:F,2,0),"")</f>
        <v/>
      </c>
    </row>
    <row r="670" spans="1:8" x14ac:dyDescent="0.25">
      <c r="A670" s="54">
        <v>4020224000</v>
      </c>
      <c r="B670" s="54">
        <v>40202240</v>
      </c>
      <c r="C670" s="54">
        <f>RIGHT(Table1[[#This Row],[UACS]],2)*1</f>
        <v>0</v>
      </c>
      <c r="D670" s="54">
        <v>40202240</v>
      </c>
      <c r="E670" s="54">
        <f ca="1">IF(ISNUMBER(SEARCH($I$1,F670)),MAX($E$2:E669)+1,0)</f>
        <v>0</v>
      </c>
      <c r="F670" s="56" t="s">
        <v>746</v>
      </c>
      <c r="H670" s="55" t="str">
        <f ca="1">IFERROR(VLOOKUP(ROWS($H$3:H670),E:F,2,0),"")</f>
        <v/>
      </c>
    </row>
    <row r="671" spans="1:8" x14ac:dyDescent="0.25">
      <c r="A671" s="54">
        <v>4020299001</v>
      </c>
      <c r="B671" s="54">
        <v>40202990</v>
      </c>
      <c r="C671" s="54">
        <f>RIGHT(Table1[[#This Row],[UACS]],2)*1</f>
        <v>1</v>
      </c>
      <c r="D671" s="54">
        <v>40202990</v>
      </c>
      <c r="E671" s="54">
        <f ca="1">IF(ISNUMBER(SEARCH($I$1,F671)),MAX($E$2:E670)+1,0)</f>
        <v>0</v>
      </c>
      <c r="F671" s="56" t="s">
        <v>747</v>
      </c>
      <c r="H671" s="55" t="str">
        <f ca="1">IFERROR(VLOOKUP(ROWS($H$3:H671),E:F,2,0),"")</f>
        <v/>
      </c>
    </row>
    <row r="672" spans="1:8" x14ac:dyDescent="0.25">
      <c r="A672" s="54">
        <v>4020299002</v>
      </c>
      <c r="B672" s="54">
        <v>40202990</v>
      </c>
      <c r="C672" s="54">
        <f>RIGHT(Table1[[#This Row],[UACS]],2)*1</f>
        <v>2</v>
      </c>
      <c r="D672" s="54">
        <v>40202990</v>
      </c>
      <c r="E672" s="54">
        <f ca="1">IF(ISNUMBER(SEARCH($I$1,F672)),MAX($E$2:E671)+1,0)</f>
        <v>0</v>
      </c>
      <c r="F672" s="56" t="s">
        <v>748</v>
      </c>
      <c r="H672" s="55" t="str">
        <f ca="1">IFERROR(VLOOKUP(ROWS($H$3:H672),E:F,2,0),"")</f>
        <v/>
      </c>
    </row>
    <row r="673" spans="1:8" x14ac:dyDescent="0.25">
      <c r="A673" s="54">
        <v>4020299003</v>
      </c>
      <c r="B673" s="54">
        <v>40202990</v>
      </c>
      <c r="C673" s="54">
        <f>RIGHT(Table1[[#This Row],[UACS]],2)*1</f>
        <v>3</v>
      </c>
      <c r="D673" s="54">
        <v>40202990</v>
      </c>
      <c r="E673" s="54">
        <f ca="1">IF(ISNUMBER(SEARCH($I$1,F673)),MAX($E$2:E672)+1,0)</f>
        <v>0</v>
      </c>
      <c r="F673" s="56" t="s">
        <v>749</v>
      </c>
      <c r="H673" s="55" t="str">
        <f ca="1">IFERROR(VLOOKUP(ROWS($H$3:H673),E:F,2,0),"")</f>
        <v/>
      </c>
    </row>
    <row r="674" spans="1:8" x14ac:dyDescent="0.25">
      <c r="A674" s="54">
        <v>4020299099</v>
      </c>
      <c r="B674" s="54">
        <v>40202990</v>
      </c>
      <c r="C674" s="54">
        <f>RIGHT(Table1[[#This Row],[UACS]],2)*1</f>
        <v>99</v>
      </c>
      <c r="D674" s="54">
        <v>40202990</v>
      </c>
      <c r="E674" s="54">
        <f ca="1">IF(ISNUMBER(SEARCH($I$1,F674)),MAX($E$2:E673)+1,0)</f>
        <v>0</v>
      </c>
      <c r="F674" s="56" t="s">
        <v>750</v>
      </c>
      <c r="H674" s="55" t="str">
        <f ca="1">IFERROR(VLOOKUP(ROWS($H$3:H674),E:F,2,0),"")</f>
        <v/>
      </c>
    </row>
    <row r="675" spans="1:8" x14ac:dyDescent="0.25">
      <c r="A675" s="54">
        <v>4030101000</v>
      </c>
      <c r="B675" s="54">
        <v>40301010</v>
      </c>
      <c r="C675" s="54">
        <f>RIGHT(Table1[[#This Row],[UACS]],2)*1</f>
        <v>0</v>
      </c>
      <c r="D675" s="54">
        <v>40301010</v>
      </c>
      <c r="E675" s="54">
        <f ca="1">IF(ISNUMBER(SEARCH($I$1,F675)),MAX($E$2:E674)+1,0)</f>
        <v>0</v>
      </c>
      <c r="F675" s="56" t="s">
        <v>751</v>
      </c>
      <c r="H675" s="55" t="str">
        <f ca="1">IFERROR(VLOOKUP(ROWS($H$3:H675),E:F,2,0),"")</f>
        <v/>
      </c>
    </row>
    <row r="676" spans="1:8" x14ac:dyDescent="0.25">
      <c r="A676" s="54">
        <v>4030102000</v>
      </c>
      <c r="B676" s="54">
        <v>40301020</v>
      </c>
      <c r="C676" s="54">
        <f>RIGHT(Table1[[#This Row],[UACS]],2)*1</f>
        <v>0</v>
      </c>
      <c r="D676" s="54">
        <v>40301020</v>
      </c>
      <c r="E676" s="54">
        <f ca="1">IF(ISNUMBER(SEARCH($I$1,F676)),MAX($E$2:E675)+1,0)</f>
        <v>0</v>
      </c>
      <c r="F676" s="56" t="s">
        <v>752</v>
      </c>
      <c r="H676" s="55" t="str">
        <f ca="1">IFERROR(VLOOKUP(ROWS($H$3:H676),E:F,2,0),"")</f>
        <v/>
      </c>
    </row>
    <row r="677" spans="1:8" x14ac:dyDescent="0.25">
      <c r="A677" s="54">
        <v>4030103000</v>
      </c>
      <c r="B677" s="54">
        <v>40301030</v>
      </c>
      <c r="C677" s="54">
        <f>RIGHT(Table1[[#This Row],[UACS]],2)*1</f>
        <v>0</v>
      </c>
      <c r="D677" s="54">
        <v>40301030</v>
      </c>
      <c r="E677" s="54">
        <f ca="1">IF(ISNUMBER(SEARCH($I$1,F677)),MAX($E$2:E676)+1,0)</f>
        <v>0</v>
      </c>
      <c r="F677" s="56" t="s">
        <v>753</v>
      </c>
      <c r="H677" s="55" t="str">
        <f ca="1">IFERROR(VLOOKUP(ROWS($H$3:H677),E:F,2,0),"")</f>
        <v/>
      </c>
    </row>
    <row r="678" spans="1:8" x14ac:dyDescent="0.25">
      <c r="A678" s="54">
        <v>4030104000</v>
      </c>
      <c r="B678" s="54">
        <v>40301040</v>
      </c>
      <c r="C678" s="54">
        <f>RIGHT(Table1[[#This Row],[UACS]],2)*1</f>
        <v>0</v>
      </c>
      <c r="D678" s="54">
        <v>40301040</v>
      </c>
      <c r="E678" s="54">
        <f ca="1">IF(ISNUMBER(SEARCH($I$1,F678)),MAX($E$2:E677)+1,0)</f>
        <v>0</v>
      </c>
      <c r="F678" s="56" t="s">
        <v>754</v>
      </c>
      <c r="H678" s="55" t="str">
        <f ca="1">IFERROR(VLOOKUP(ROWS($H$3:H678),E:F,2,0),"")</f>
        <v/>
      </c>
    </row>
    <row r="679" spans="1:8" x14ac:dyDescent="0.25">
      <c r="A679" s="54">
        <v>4030105000</v>
      </c>
      <c r="B679" s="54">
        <v>40301050</v>
      </c>
      <c r="C679" s="54">
        <f>RIGHT(Table1[[#This Row],[UACS]],2)*1</f>
        <v>0</v>
      </c>
      <c r="D679" s="54">
        <v>40301050</v>
      </c>
      <c r="E679" s="54">
        <f ca="1">IF(ISNUMBER(SEARCH($I$1,F679)),MAX($E$2:E678)+1,0)</f>
        <v>0</v>
      </c>
      <c r="F679" s="56" t="s">
        <v>755</v>
      </c>
      <c r="H679" s="55" t="str">
        <f ca="1">IFERROR(VLOOKUP(ROWS($H$3:H679),E:F,2,0),"")</f>
        <v/>
      </c>
    </row>
    <row r="680" spans="1:8" x14ac:dyDescent="0.25">
      <c r="A680" s="54">
        <v>4030106000</v>
      </c>
      <c r="B680" s="54">
        <v>40301060</v>
      </c>
      <c r="C680" s="54">
        <f>RIGHT(Table1[[#This Row],[UACS]],2)*1</f>
        <v>0</v>
      </c>
      <c r="D680" s="54">
        <v>40301060</v>
      </c>
      <c r="E680" s="54">
        <f ca="1">IF(ISNUMBER(SEARCH($I$1,F680)),MAX($E$2:E679)+1,0)</f>
        <v>0</v>
      </c>
      <c r="F680" s="56" t="s">
        <v>756</v>
      </c>
      <c r="H680" s="55" t="str">
        <f ca="1">IFERROR(VLOOKUP(ROWS($H$3:H680),E:F,2,0),"")</f>
        <v/>
      </c>
    </row>
    <row r="681" spans="1:8" x14ac:dyDescent="0.25">
      <c r="A681" s="54">
        <v>4030107000</v>
      </c>
      <c r="B681" s="54">
        <v>40301070</v>
      </c>
      <c r="C681" s="54">
        <f>RIGHT(Table1[[#This Row],[UACS]],2)*1</f>
        <v>0</v>
      </c>
      <c r="D681" s="54">
        <v>40301070</v>
      </c>
      <c r="E681" s="54">
        <f ca="1">IF(ISNUMBER(SEARCH($I$1,F681)),MAX($E$2:E680)+1,0)</f>
        <v>0</v>
      </c>
      <c r="F681" s="56" t="s">
        <v>757</v>
      </c>
      <c r="H681" s="55" t="str">
        <f ca="1">IFERROR(VLOOKUP(ROWS($H$3:H681),E:F,2,0),"")</f>
        <v/>
      </c>
    </row>
    <row r="682" spans="1:8" x14ac:dyDescent="0.25">
      <c r="A682" s="54">
        <v>4040101001</v>
      </c>
      <c r="B682" s="54">
        <v>40401010</v>
      </c>
      <c r="C682" s="54">
        <f>RIGHT(Table1[[#This Row],[UACS]],2)*1</f>
        <v>1</v>
      </c>
      <c r="D682" s="54">
        <v>40401010</v>
      </c>
      <c r="E682" s="54">
        <f ca="1">IF(ISNUMBER(SEARCH($I$1,F682)),MAX($E$2:E681)+1,0)</f>
        <v>0</v>
      </c>
      <c r="F682" s="56" t="s">
        <v>758</v>
      </c>
      <c r="H682" s="55" t="str">
        <f ca="1">IFERROR(VLOOKUP(ROWS($H$3:H682),E:F,2,0),"")</f>
        <v/>
      </c>
    </row>
    <row r="683" spans="1:8" x14ac:dyDescent="0.25">
      <c r="A683" s="54">
        <v>4040101002</v>
      </c>
      <c r="B683" s="54">
        <v>40401010</v>
      </c>
      <c r="C683" s="54">
        <f>RIGHT(Table1[[#This Row],[UACS]],2)*1</f>
        <v>2</v>
      </c>
      <c r="D683" s="54">
        <v>40401010</v>
      </c>
      <c r="E683" s="54">
        <f ca="1">IF(ISNUMBER(SEARCH($I$1,F683)),MAX($E$2:E682)+1,0)</f>
        <v>1</v>
      </c>
      <c r="F683" s="56" t="s">
        <v>759</v>
      </c>
      <c r="H683" s="55" t="str">
        <f ca="1">IFERROR(VLOOKUP(ROWS($H$3:H683),E:F,2,0),"")</f>
        <v/>
      </c>
    </row>
    <row r="684" spans="1:8" x14ac:dyDescent="0.25">
      <c r="A684" s="54">
        <v>4040101003</v>
      </c>
      <c r="B684" s="54">
        <v>40401010</v>
      </c>
      <c r="C684" s="54">
        <f>RIGHT(Table1[[#This Row],[UACS]],2)*1</f>
        <v>3</v>
      </c>
      <c r="D684" s="54">
        <v>40401010</v>
      </c>
      <c r="E684" s="54">
        <f ca="1">IF(ISNUMBER(SEARCH($I$1,F684)),MAX($E$2:E683)+1,0)</f>
        <v>2</v>
      </c>
      <c r="F684" s="56" t="s">
        <v>760</v>
      </c>
      <c r="H684" s="55" t="str">
        <f ca="1">IFERROR(VLOOKUP(ROWS($H$3:H684),E:F,2,0),"")</f>
        <v/>
      </c>
    </row>
    <row r="685" spans="1:8" x14ac:dyDescent="0.25">
      <c r="A685" s="54">
        <v>4040101004</v>
      </c>
      <c r="B685" s="54">
        <v>40401010</v>
      </c>
      <c r="C685" s="54">
        <f>RIGHT(Table1[[#This Row],[UACS]],2)*1</f>
        <v>4</v>
      </c>
      <c r="D685" s="54">
        <v>40401010</v>
      </c>
      <c r="E685" s="54">
        <f ca="1">IF(ISNUMBER(SEARCH($I$1,F685)),MAX($E$2:E684)+1,0)</f>
        <v>3</v>
      </c>
      <c r="F685" s="56" t="s">
        <v>761</v>
      </c>
      <c r="H685" s="55" t="str">
        <f ca="1">IFERROR(VLOOKUP(ROWS($H$3:H685),E:F,2,0),"")</f>
        <v/>
      </c>
    </row>
    <row r="686" spans="1:8" x14ac:dyDescent="0.25">
      <c r="A686" s="54">
        <v>4040101005</v>
      </c>
      <c r="B686" s="54">
        <v>40401010</v>
      </c>
      <c r="C686" s="54">
        <f>RIGHT(Table1[[#This Row],[UACS]],2)*1</f>
        <v>5</v>
      </c>
      <c r="D686" s="54">
        <v>40401010</v>
      </c>
      <c r="E686" s="54">
        <f ca="1">IF(ISNUMBER(SEARCH($I$1,F686)),MAX($E$2:E685)+1,0)</f>
        <v>4</v>
      </c>
      <c r="F686" s="56" t="s">
        <v>762</v>
      </c>
      <c r="H686" s="55" t="str">
        <f ca="1">IFERROR(VLOOKUP(ROWS($H$3:H686),E:F,2,0),"")</f>
        <v/>
      </c>
    </row>
    <row r="687" spans="1:8" x14ac:dyDescent="0.25">
      <c r="A687" s="54">
        <v>4040101006</v>
      </c>
      <c r="B687" s="54">
        <v>40401010</v>
      </c>
      <c r="C687" s="54">
        <f>RIGHT(Table1[[#This Row],[UACS]],2)*1</f>
        <v>6</v>
      </c>
      <c r="D687" s="54">
        <v>40401010</v>
      </c>
      <c r="E687" s="54">
        <f ca="1">IF(ISNUMBER(SEARCH($I$1,F687)),MAX($E$2:E686)+1,0)</f>
        <v>5</v>
      </c>
      <c r="F687" s="56" t="s">
        <v>763</v>
      </c>
      <c r="H687" s="55" t="str">
        <f ca="1">IFERROR(VLOOKUP(ROWS($H$3:H687),E:F,2,0),"")</f>
        <v/>
      </c>
    </row>
    <row r="688" spans="1:8" x14ac:dyDescent="0.25">
      <c r="A688" s="54">
        <v>4040101007</v>
      </c>
      <c r="B688" s="54">
        <v>40401010</v>
      </c>
      <c r="C688" s="54">
        <f>RIGHT(Table1[[#This Row],[UACS]],2)*1</f>
        <v>7</v>
      </c>
      <c r="D688" s="54">
        <v>40401010</v>
      </c>
      <c r="E688" s="54">
        <f ca="1">IF(ISNUMBER(SEARCH($I$1,F688)),MAX($E$2:E687)+1,0)</f>
        <v>0</v>
      </c>
      <c r="F688" s="56" t="s">
        <v>764</v>
      </c>
      <c r="H688" s="55" t="str">
        <f ca="1">IFERROR(VLOOKUP(ROWS($H$3:H688),E:F,2,0),"")</f>
        <v/>
      </c>
    </row>
    <row r="689" spans="1:8" x14ac:dyDescent="0.25">
      <c r="A689" s="54">
        <v>4040101008</v>
      </c>
      <c r="B689" s="54">
        <v>40401010</v>
      </c>
      <c r="C689" s="54">
        <f>RIGHT(Table1[[#This Row],[UACS]],2)*1</f>
        <v>8</v>
      </c>
      <c r="D689" s="54">
        <v>40401010</v>
      </c>
      <c r="E689" s="54">
        <f ca="1">IF(ISNUMBER(SEARCH($I$1,F689)),MAX($E$2:E688)+1,0)</f>
        <v>0</v>
      </c>
      <c r="F689" s="56" t="s">
        <v>765</v>
      </c>
      <c r="H689" s="55" t="str">
        <f ca="1">IFERROR(VLOOKUP(ROWS($H$3:H689),E:F,2,0),"")</f>
        <v/>
      </c>
    </row>
    <row r="690" spans="1:8" x14ac:dyDescent="0.25">
      <c r="A690" s="54">
        <v>4040101009</v>
      </c>
      <c r="B690" s="54">
        <v>40401010</v>
      </c>
      <c r="C690" s="54">
        <f>RIGHT(Table1[[#This Row],[UACS]],2)*1</f>
        <v>9</v>
      </c>
      <c r="D690" s="54">
        <v>40401010</v>
      </c>
      <c r="E690" s="54">
        <f ca="1">IF(ISNUMBER(SEARCH($I$1,F690)),MAX($E$2:E689)+1,0)</f>
        <v>0</v>
      </c>
      <c r="F690" s="56" t="s">
        <v>766</v>
      </c>
      <c r="H690" s="55" t="str">
        <f ca="1">IFERROR(VLOOKUP(ROWS($H$3:H690),E:F,2,0),"")</f>
        <v/>
      </c>
    </row>
    <row r="691" spans="1:8" x14ac:dyDescent="0.25">
      <c r="A691" s="54">
        <v>4040101010</v>
      </c>
      <c r="B691" s="54">
        <v>40401010</v>
      </c>
      <c r="C691" s="54">
        <f>RIGHT(Table1[[#This Row],[UACS]],2)*1</f>
        <v>10</v>
      </c>
      <c r="D691" s="54">
        <v>40401010</v>
      </c>
      <c r="E691" s="54">
        <f ca="1">IF(ISNUMBER(SEARCH($I$1,F691)),MAX($E$2:E690)+1,0)</f>
        <v>6</v>
      </c>
      <c r="F691" s="56" t="s">
        <v>767</v>
      </c>
      <c r="H691" s="55" t="str">
        <f ca="1">IFERROR(VLOOKUP(ROWS($H$3:H691),E:F,2,0),"")</f>
        <v/>
      </c>
    </row>
    <row r="692" spans="1:8" x14ac:dyDescent="0.25">
      <c r="A692" s="54">
        <v>4040102000</v>
      </c>
      <c r="B692" s="54">
        <v>40401020</v>
      </c>
      <c r="C692" s="54">
        <f>RIGHT(Table1[[#This Row],[UACS]],2)*1</f>
        <v>0</v>
      </c>
      <c r="D692" s="54">
        <v>40401020</v>
      </c>
      <c r="E692" s="54">
        <f ca="1">IF(ISNUMBER(SEARCH($I$1,F692)),MAX($E$2:E691)+1,0)</f>
        <v>0</v>
      </c>
      <c r="F692" s="56" t="s">
        <v>768</v>
      </c>
      <c r="H692" s="55" t="str">
        <f ca="1">IFERROR(VLOOKUP(ROWS($H$3:H692),E:F,2,0),"")</f>
        <v/>
      </c>
    </row>
    <row r="693" spans="1:8" x14ac:dyDescent="0.25">
      <c r="A693" s="54">
        <v>4040103000</v>
      </c>
      <c r="B693" s="54">
        <v>40401030</v>
      </c>
      <c r="C693" s="54">
        <f>RIGHT(Table1[[#This Row],[UACS]],2)*1</f>
        <v>0</v>
      </c>
      <c r="D693" s="54">
        <v>40401030</v>
      </c>
      <c r="E693" s="54">
        <f ca="1">IF(ISNUMBER(SEARCH($I$1,F693)),MAX($E$2:E692)+1,0)</f>
        <v>0</v>
      </c>
      <c r="F693" s="56" t="s">
        <v>769</v>
      </c>
      <c r="H693" s="55" t="str">
        <f ca="1">IFERROR(VLOOKUP(ROWS($H$3:H693),E:F,2,0),"")</f>
        <v/>
      </c>
    </row>
    <row r="694" spans="1:8" x14ac:dyDescent="0.25">
      <c r="A694" s="54">
        <v>4040201000</v>
      </c>
      <c r="B694" s="54">
        <v>40402010</v>
      </c>
      <c r="C694" s="54">
        <f>RIGHT(Table1[[#This Row],[UACS]],2)*1</f>
        <v>0</v>
      </c>
      <c r="D694" s="54">
        <v>40402010</v>
      </c>
      <c r="E694" s="54">
        <f ca="1">IF(ISNUMBER(SEARCH($I$1,F694)),MAX($E$2:E693)+1,0)</f>
        <v>0</v>
      </c>
      <c r="F694" s="56" t="s">
        <v>770</v>
      </c>
      <c r="H694" s="55" t="str">
        <f ca="1">IFERROR(VLOOKUP(ROWS($H$3:H694),E:F,2,0),"")</f>
        <v/>
      </c>
    </row>
    <row r="695" spans="1:8" x14ac:dyDescent="0.25">
      <c r="A695" s="54">
        <v>4040202000</v>
      </c>
      <c r="B695" s="54">
        <v>40402020</v>
      </c>
      <c r="C695" s="54">
        <f>RIGHT(Table1[[#This Row],[UACS]],2)*1</f>
        <v>0</v>
      </c>
      <c r="D695" s="54">
        <v>40402020</v>
      </c>
      <c r="E695" s="54">
        <f ca="1">IF(ISNUMBER(SEARCH($I$1,F695)),MAX($E$2:E694)+1,0)</f>
        <v>0</v>
      </c>
      <c r="F695" s="56" t="s">
        <v>771</v>
      </c>
      <c r="H695" s="55" t="str">
        <f ca="1">IFERROR(VLOOKUP(ROWS($H$3:H695),E:F,2,0),"")</f>
        <v/>
      </c>
    </row>
    <row r="696" spans="1:8" x14ac:dyDescent="0.25">
      <c r="A696" s="54">
        <v>4050101000</v>
      </c>
      <c r="B696" s="54">
        <v>40501010</v>
      </c>
      <c r="C696" s="54">
        <f>RIGHT(Table1[[#This Row],[UACS]],2)*1</f>
        <v>0</v>
      </c>
      <c r="D696" s="54">
        <v>40501010</v>
      </c>
      <c r="E696" s="54">
        <f ca="1">IF(ISNUMBER(SEARCH($I$1,F696)),MAX($E$2:E695)+1,0)</f>
        <v>0</v>
      </c>
      <c r="F696" s="56" t="s">
        <v>772</v>
      </c>
      <c r="H696" s="55" t="str">
        <f ca="1">IFERROR(VLOOKUP(ROWS($H$3:H696),E:F,2,0),"")</f>
        <v/>
      </c>
    </row>
    <row r="697" spans="1:8" x14ac:dyDescent="0.25">
      <c r="A697" s="54">
        <v>4050102000</v>
      </c>
      <c r="B697" s="54">
        <v>40501020</v>
      </c>
      <c r="C697" s="54">
        <f>RIGHT(Table1[[#This Row],[UACS]],2)*1</f>
        <v>0</v>
      </c>
      <c r="D697" s="54">
        <v>40501020</v>
      </c>
      <c r="E697" s="54">
        <f ca="1">IF(ISNUMBER(SEARCH($I$1,F697)),MAX($E$2:E696)+1,0)</f>
        <v>0</v>
      </c>
      <c r="F697" s="56" t="s">
        <v>773</v>
      </c>
      <c r="H697" s="55" t="str">
        <f ca="1">IFERROR(VLOOKUP(ROWS($H$3:H697),E:F,2,0),"")</f>
        <v/>
      </c>
    </row>
    <row r="698" spans="1:8" x14ac:dyDescent="0.25">
      <c r="A698" s="54">
        <v>4050103000</v>
      </c>
      <c r="B698" s="54">
        <v>40501030</v>
      </c>
      <c r="C698" s="54">
        <f>RIGHT(Table1[[#This Row],[UACS]],2)*1</f>
        <v>0</v>
      </c>
      <c r="D698" s="54">
        <v>40501030</v>
      </c>
      <c r="E698" s="54">
        <f ca="1">IF(ISNUMBER(SEARCH($I$1,F698)),MAX($E$2:E697)+1,0)</f>
        <v>0</v>
      </c>
      <c r="F698" s="56" t="s">
        <v>774</v>
      </c>
      <c r="H698" s="55" t="str">
        <f ca="1">IFERROR(VLOOKUP(ROWS($H$3:H698),E:F,2,0),"")</f>
        <v/>
      </c>
    </row>
    <row r="699" spans="1:8" x14ac:dyDescent="0.25">
      <c r="A699" s="54">
        <v>4050104000</v>
      </c>
      <c r="B699" s="54">
        <v>40501040</v>
      </c>
      <c r="C699" s="54">
        <f>RIGHT(Table1[[#This Row],[UACS]],2)*1</f>
        <v>0</v>
      </c>
      <c r="D699" s="54">
        <v>40501040</v>
      </c>
      <c r="E699" s="54">
        <f ca="1">IF(ISNUMBER(SEARCH($I$1,F699)),MAX($E$2:E698)+1,0)</f>
        <v>0</v>
      </c>
      <c r="F699" s="56" t="s">
        <v>775</v>
      </c>
      <c r="H699" s="55" t="str">
        <f ca="1">IFERROR(VLOOKUP(ROWS($H$3:H699),E:F,2,0),"")</f>
        <v/>
      </c>
    </row>
    <row r="700" spans="1:8" x14ac:dyDescent="0.25">
      <c r="A700" s="54">
        <v>4050105000</v>
      </c>
      <c r="B700" s="54">
        <v>40501050</v>
      </c>
      <c r="C700" s="54">
        <f>RIGHT(Table1[[#This Row],[UACS]],2)*1</f>
        <v>0</v>
      </c>
      <c r="D700" s="54">
        <v>40501050</v>
      </c>
      <c r="E700" s="54">
        <f ca="1">IF(ISNUMBER(SEARCH($I$1,F700)),MAX($E$2:E699)+1,0)</f>
        <v>0</v>
      </c>
      <c r="F700" s="56" t="s">
        <v>776</v>
      </c>
      <c r="H700" s="55" t="str">
        <f ca="1">IFERROR(VLOOKUP(ROWS($H$3:H700),E:F,2,0),"")</f>
        <v/>
      </c>
    </row>
    <row r="701" spans="1:8" x14ac:dyDescent="0.25">
      <c r="A701" s="54">
        <v>4050106000</v>
      </c>
      <c r="B701" s="54">
        <v>40501060</v>
      </c>
      <c r="C701" s="54">
        <f>RIGHT(Table1[[#This Row],[UACS]],2)*1</f>
        <v>0</v>
      </c>
      <c r="D701" s="54">
        <v>40501060</v>
      </c>
      <c r="E701" s="54">
        <f ca="1">IF(ISNUMBER(SEARCH($I$1,F701)),MAX($E$2:E700)+1,0)</f>
        <v>0</v>
      </c>
      <c r="F701" s="56" t="s">
        <v>777</v>
      </c>
      <c r="H701" s="55" t="str">
        <f ca="1">IFERROR(VLOOKUP(ROWS($H$3:H701),E:F,2,0),"")</f>
        <v/>
      </c>
    </row>
    <row r="702" spans="1:8" x14ac:dyDescent="0.25">
      <c r="A702" s="54">
        <v>4050107000</v>
      </c>
      <c r="B702" s="54">
        <v>40501070</v>
      </c>
      <c r="C702" s="54">
        <f>RIGHT(Table1[[#This Row],[UACS]],2)*1</f>
        <v>0</v>
      </c>
      <c r="D702" s="54">
        <v>40501070</v>
      </c>
      <c r="E702" s="54">
        <f ca="1">IF(ISNUMBER(SEARCH($I$1,F702)),MAX($E$2:E701)+1,0)</f>
        <v>0</v>
      </c>
      <c r="F702" s="56" t="s">
        <v>778</v>
      </c>
      <c r="H702" s="55" t="str">
        <f ca="1">IFERROR(VLOOKUP(ROWS($H$3:H702),E:F,2,0),"")</f>
        <v/>
      </c>
    </row>
    <row r="703" spans="1:8" x14ac:dyDescent="0.25">
      <c r="A703" s="54">
        <v>4050108000</v>
      </c>
      <c r="B703" s="54">
        <v>40501080</v>
      </c>
      <c r="C703" s="54">
        <f>RIGHT(Table1[[#This Row],[UACS]],2)*1</f>
        <v>0</v>
      </c>
      <c r="D703" s="54">
        <v>40501080</v>
      </c>
      <c r="E703" s="54">
        <f ca="1">IF(ISNUMBER(SEARCH($I$1,F703)),MAX($E$2:E702)+1,0)</f>
        <v>0</v>
      </c>
      <c r="F703" s="56" t="s">
        <v>779</v>
      </c>
      <c r="H703" s="55" t="str">
        <f ca="1">IFERROR(VLOOKUP(ROWS($H$3:H703),E:F,2,0),"")</f>
        <v/>
      </c>
    </row>
    <row r="704" spans="1:8" x14ac:dyDescent="0.25">
      <c r="A704" s="54">
        <v>4050109000</v>
      </c>
      <c r="B704" s="54">
        <v>40501090</v>
      </c>
      <c r="C704" s="54">
        <f>RIGHT(Table1[[#This Row],[UACS]],2)*1</f>
        <v>0</v>
      </c>
      <c r="D704" s="54">
        <v>40501090</v>
      </c>
      <c r="E704" s="54">
        <f ca="1">IF(ISNUMBER(SEARCH($I$1,F704)),MAX($E$2:E703)+1,0)</f>
        <v>0</v>
      </c>
      <c r="F704" s="56" t="s">
        <v>780</v>
      </c>
      <c r="H704" s="55" t="str">
        <f ca="1">IFERROR(VLOOKUP(ROWS($H$3:H704),E:F,2,0),"")</f>
        <v/>
      </c>
    </row>
    <row r="705" spans="1:8" x14ac:dyDescent="0.25">
      <c r="A705" s="54">
        <v>4050110000</v>
      </c>
      <c r="B705" s="54">
        <v>40501100</v>
      </c>
      <c r="C705" s="54">
        <f>RIGHT(Table1[[#This Row],[UACS]],2)*1</f>
        <v>0</v>
      </c>
      <c r="D705" s="54">
        <v>40501100</v>
      </c>
      <c r="E705" s="54">
        <f ca="1">IF(ISNUMBER(SEARCH($I$1,F705)),MAX($E$2:E704)+1,0)</f>
        <v>0</v>
      </c>
      <c r="F705" s="56" t="s">
        <v>781</v>
      </c>
      <c r="H705" s="55" t="str">
        <f ca="1">IFERROR(VLOOKUP(ROWS($H$3:H705),E:F,2,0),"")</f>
        <v/>
      </c>
    </row>
    <row r="706" spans="1:8" x14ac:dyDescent="0.25">
      <c r="A706" s="54">
        <v>4050111000</v>
      </c>
      <c r="B706" s="54">
        <v>40501110</v>
      </c>
      <c r="C706" s="54">
        <f>RIGHT(Table1[[#This Row],[UACS]],2)*1</f>
        <v>0</v>
      </c>
      <c r="D706" s="54">
        <v>40501110</v>
      </c>
      <c r="E706" s="54">
        <f ca="1">IF(ISNUMBER(SEARCH($I$1,F706)),MAX($E$2:E705)+1,0)</f>
        <v>0</v>
      </c>
      <c r="F706" s="56" t="s">
        <v>782</v>
      </c>
      <c r="H706" s="55" t="str">
        <f ca="1">IFERROR(VLOOKUP(ROWS($H$3:H706),E:F,2,0),"")</f>
        <v/>
      </c>
    </row>
    <row r="707" spans="1:8" x14ac:dyDescent="0.25">
      <c r="A707" s="54">
        <v>4050112000</v>
      </c>
      <c r="B707" s="54">
        <v>40501120</v>
      </c>
      <c r="C707" s="54">
        <f>RIGHT(Table1[[#This Row],[UACS]],2)*1</f>
        <v>0</v>
      </c>
      <c r="D707" s="54">
        <v>40501120</v>
      </c>
      <c r="E707" s="54">
        <f ca="1">IF(ISNUMBER(SEARCH($I$1,F707)),MAX($E$2:E706)+1,0)</f>
        <v>0</v>
      </c>
      <c r="F707" s="56" t="s">
        <v>783</v>
      </c>
      <c r="H707" s="55" t="str">
        <f ca="1">IFERROR(VLOOKUP(ROWS($H$3:H707),E:F,2,0),"")</f>
        <v/>
      </c>
    </row>
    <row r="708" spans="1:8" x14ac:dyDescent="0.25">
      <c r="A708" s="54">
        <v>4050199000</v>
      </c>
      <c r="B708" s="54">
        <v>40501990</v>
      </c>
      <c r="C708" s="54">
        <f>RIGHT(Table1[[#This Row],[UACS]],2)*1</f>
        <v>0</v>
      </c>
      <c r="D708" s="54">
        <v>40501990</v>
      </c>
      <c r="E708" s="54">
        <f ca="1">IF(ISNUMBER(SEARCH($I$1,F708)),MAX($E$2:E707)+1,0)</f>
        <v>0</v>
      </c>
      <c r="F708" s="56" t="s">
        <v>784</v>
      </c>
      <c r="H708" s="55" t="str">
        <f ca="1">IFERROR(VLOOKUP(ROWS($H$3:H708),E:F,2,0),"")</f>
        <v/>
      </c>
    </row>
    <row r="709" spans="1:8" x14ac:dyDescent="0.25">
      <c r="A709" s="54">
        <v>4060101000</v>
      </c>
      <c r="B709" s="54">
        <v>40601010</v>
      </c>
      <c r="C709" s="54">
        <f>RIGHT(Table1[[#This Row],[UACS]],2)*1</f>
        <v>0</v>
      </c>
      <c r="D709" s="54">
        <v>40601010</v>
      </c>
      <c r="E709" s="54">
        <f ca="1">IF(ISNUMBER(SEARCH($I$1,F709)),MAX($E$2:E708)+1,0)</f>
        <v>0</v>
      </c>
      <c r="F709" s="56" t="s">
        <v>785</v>
      </c>
      <c r="H709" s="55" t="str">
        <f ca="1">IFERROR(VLOOKUP(ROWS($H$3:H709),E:F,2,0),"")</f>
        <v/>
      </c>
    </row>
    <row r="710" spans="1:8" x14ac:dyDescent="0.25">
      <c r="A710" s="54">
        <v>4060102000</v>
      </c>
      <c r="B710" s="54">
        <v>40601020</v>
      </c>
      <c r="C710" s="54">
        <f>RIGHT(Table1[[#This Row],[UACS]],2)*1</f>
        <v>0</v>
      </c>
      <c r="D710" s="54">
        <v>40601020</v>
      </c>
      <c r="E710" s="54">
        <f ca="1">IF(ISNUMBER(SEARCH($I$1,F710)),MAX($E$2:E709)+1,0)</f>
        <v>0</v>
      </c>
      <c r="F710" s="56" t="s">
        <v>786</v>
      </c>
      <c r="H710" s="55" t="str">
        <f ca="1">IFERROR(VLOOKUP(ROWS($H$3:H710),E:F,2,0),"")</f>
        <v/>
      </c>
    </row>
    <row r="711" spans="1:8" x14ac:dyDescent="0.25">
      <c r="A711" s="54">
        <v>4060201000</v>
      </c>
      <c r="B711" s="54">
        <v>40602010</v>
      </c>
      <c r="C711" s="54">
        <f>RIGHT(Table1[[#This Row],[UACS]],2)*1</f>
        <v>0</v>
      </c>
      <c r="D711" s="54">
        <v>40602010</v>
      </c>
      <c r="E711" s="54">
        <f ca="1">IF(ISNUMBER(SEARCH($I$1,F711)),MAX($E$2:E710)+1,0)</f>
        <v>0</v>
      </c>
      <c r="F711" s="56" t="s">
        <v>787</v>
      </c>
      <c r="H711" s="55" t="str">
        <f ca="1">IFERROR(VLOOKUP(ROWS($H$3:H711),E:F,2,0),"")</f>
        <v/>
      </c>
    </row>
    <row r="712" spans="1:8" x14ac:dyDescent="0.25">
      <c r="A712" s="54">
        <v>4060901000</v>
      </c>
      <c r="B712" s="54">
        <v>40609010</v>
      </c>
      <c r="C712" s="54">
        <f>RIGHT(Table1[[#This Row],[UACS]],2)*1</f>
        <v>0</v>
      </c>
      <c r="D712" s="54">
        <v>40609010</v>
      </c>
      <c r="E712" s="54">
        <f ca="1">IF(ISNUMBER(SEARCH($I$1,F712)),MAX($E$2:E711)+1,0)</f>
        <v>0</v>
      </c>
      <c r="F712" s="56" t="s">
        <v>788</v>
      </c>
      <c r="H712" s="55" t="str">
        <f ca="1">IFERROR(VLOOKUP(ROWS($H$3:H712),E:F,2,0),"")</f>
        <v/>
      </c>
    </row>
    <row r="713" spans="1:8" x14ac:dyDescent="0.25">
      <c r="A713" s="54">
        <v>4060999000</v>
      </c>
      <c r="B713" s="54">
        <v>40609990</v>
      </c>
      <c r="C713" s="54">
        <f>RIGHT(Table1[[#This Row],[UACS]],2)*1</f>
        <v>0</v>
      </c>
      <c r="D713" s="54">
        <v>40609990</v>
      </c>
      <c r="E713" s="54">
        <f ca="1">IF(ISNUMBER(SEARCH($I$1,F713)),MAX($E$2:E712)+1,0)</f>
        <v>0</v>
      </c>
      <c r="F713" s="56" t="s">
        <v>789</v>
      </c>
      <c r="H713" s="55" t="str">
        <f ca="1">IFERROR(VLOOKUP(ROWS($H$3:H713),E:F,2,0),"")</f>
        <v/>
      </c>
    </row>
    <row r="714" spans="1:8" x14ac:dyDescent="0.25">
      <c r="A714" s="54">
        <v>5010101001</v>
      </c>
      <c r="B714" s="54">
        <v>50101010</v>
      </c>
      <c r="C714" s="54">
        <f>RIGHT(Table1[[#This Row],[UACS]],2)*1</f>
        <v>1</v>
      </c>
      <c r="D714" s="54">
        <v>50101010</v>
      </c>
      <c r="E714" s="54">
        <f ca="1">IF(ISNUMBER(SEARCH($I$1,F714)),MAX($E$2:E713)+1,0)</f>
        <v>0</v>
      </c>
      <c r="F714" s="56" t="s">
        <v>790</v>
      </c>
      <c r="H714" s="55" t="str">
        <f ca="1">IFERROR(VLOOKUP(ROWS($H$3:H714),E:F,2,0),"")</f>
        <v/>
      </c>
    </row>
    <row r="715" spans="1:8" x14ac:dyDescent="0.25">
      <c r="A715" s="54">
        <v>5010101002</v>
      </c>
      <c r="B715" s="54">
        <v>50101010</v>
      </c>
      <c r="C715" s="54">
        <f>RIGHT(Table1[[#This Row],[UACS]],2)*1</f>
        <v>2</v>
      </c>
      <c r="D715" s="54">
        <v>50101010</v>
      </c>
      <c r="E715" s="54">
        <f ca="1">IF(ISNUMBER(SEARCH($I$1,F715)),MAX($E$2:E714)+1,0)</f>
        <v>0</v>
      </c>
      <c r="F715" s="56" t="s">
        <v>791</v>
      </c>
      <c r="H715" s="55" t="str">
        <f ca="1">IFERROR(VLOOKUP(ROWS($H$3:H715),E:F,2,0),"")</f>
        <v/>
      </c>
    </row>
    <row r="716" spans="1:8" x14ac:dyDescent="0.25">
      <c r="A716" s="54">
        <v>5010102000</v>
      </c>
      <c r="B716" s="54">
        <v>50101020</v>
      </c>
      <c r="C716" s="54">
        <f>RIGHT(Table1[[#This Row],[UACS]],2)*1</f>
        <v>0</v>
      </c>
      <c r="D716" s="54">
        <v>50101020</v>
      </c>
      <c r="E716" s="54">
        <f ca="1">IF(ISNUMBER(SEARCH($I$1,F716)),MAX($E$2:E715)+1,0)</f>
        <v>0</v>
      </c>
      <c r="F716" s="56" t="s">
        <v>792</v>
      </c>
      <c r="H716" s="55" t="str">
        <f ca="1">IFERROR(VLOOKUP(ROWS($H$3:H716),E:F,2,0),"")</f>
        <v/>
      </c>
    </row>
    <row r="717" spans="1:8" x14ac:dyDescent="0.25">
      <c r="A717" s="54">
        <v>5010201001</v>
      </c>
      <c r="B717" s="54">
        <v>50102010</v>
      </c>
      <c r="C717" s="54">
        <f>RIGHT(Table1[[#This Row],[UACS]],2)*1</f>
        <v>1</v>
      </c>
      <c r="D717" s="54">
        <v>50102010</v>
      </c>
      <c r="E717" s="54">
        <f ca="1">IF(ISNUMBER(SEARCH($I$1,F717)),MAX($E$2:E716)+1,0)</f>
        <v>0</v>
      </c>
      <c r="F717" s="56" t="s">
        <v>793</v>
      </c>
      <c r="H717" s="55" t="str">
        <f ca="1">IFERROR(VLOOKUP(ROWS($H$3:H717),E:F,2,0),"")</f>
        <v/>
      </c>
    </row>
    <row r="718" spans="1:8" x14ac:dyDescent="0.25">
      <c r="A718" s="54">
        <v>5010201002</v>
      </c>
      <c r="B718" s="54">
        <v>50102010</v>
      </c>
      <c r="C718" s="54">
        <f>RIGHT(Table1[[#This Row],[UACS]],2)*1</f>
        <v>2</v>
      </c>
      <c r="D718" s="54">
        <v>50102010</v>
      </c>
      <c r="E718" s="54">
        <f ca="1">IF(ISNUMBER(SEARCH($I$1,F718)),MAX($E$2:E717)+1,0)</f>
        <v>0</v>
      </c>
      <c r="F718" s="56" t="s">
        <v>794</v>
      </c>
      <c r="H718" s="55" t="str">
        <f ca="1">IFERROR(VLOOKUP(ROWS($H$3:H718),E:F,2,0),"")</f>
        <v/>
      </c>
    </row>
    <row r="719" spans="1:8" x14ac:dyDescent="0.25">
      <c r="A719" s="54">
        <v>5010202000</v>
      </c>
      <c r="B719" s="54">
        <v>50102020</v>
      </c>
      <c r="C719" s="54">
        <f>RIGHT(Table1[[#This Row],[UACS]],2)*1</f>
        <v>0</v>
      </c>
      <c r="D719" s="54">
        <v>50102020</v>
      </c>
      <c r="E719" s="54">
        <f ca="1">IF(ISNUMBER(SEARCH($I$1,F719)),MAX($E$2:E718)+1,0)</f>
        <v>0</v>
      </c>
      <c r="F719" s="56" t="s">
        <v>795</v>
      </c>
      <c r="H719" s="55" t="str">
        <f ca="1">IFERROR(VLOOKUP(ROWS($H$3:H719),E:F,2,0),"")</f>
        <v/>
      </c>
    </row>
    <row r="720" spans="1:8" x14ac:dyDescent="0.25">
      <c r="A720" s="54">
        <v>5010203001</v>
      </c>
      <c r="B720" s="54">
        <v>50102030</v>
      </c>
      <c r="C720" s="54">
        <f>RIGHT(Table1[[#This Row],[UACS]],2)*1</f>
        <v>1</v>
      </c>
      <c r="D720" s="54">
        <v>50102030</v>
      </c>
      <c r="E720" s="54">
        <f ca="1">IF(ISNUMBER(SEARCH($I$1,F720)),MAX($E$2:E719)+1,0)</f>
        <v>0</v>
      </c>
      <c r="F720" s="56" t="s">
        <v>796</v>
      </c>
      <c r="H720" s="55" t="str">
        <f ca="1">IFERROR(VLOOKUP(ROWS($H$3:H720),E:F,2,0),"")</f>
        <v/>
      </c>
    </row>
    <row r="721" spans="1:8" x14ac:dyDescent="0.25">
      <c r="A721" s="54">
        <v>5010203002</v>
      </c>
      <c r="B721" s="54">
        <v>50102030</v>
      </c>
      <c r="C721" s="54">
        <f>RIGHT(Table1[[#This Row],[UACS]],2)*1</f>
        <v>2</v>
      </c>
      <c r="D721" s="54">
        <v>50102030</v>
      </c>
      <c r="E721" s="54">
        <f ca="1">IF(ISNUMBER(SEARCH($I$1,F721)),MAX($E$2:E720)+1,0)</f>
        <v>0</v>
      </c>
      <c r="F721" s="56" t="s">
        <v>797</v>
      </c>
      <c r="H721" s="55" t="str">
        <f ca="1">IFERROR(VLOOKUP(ROWS($H$3:H721),E:F,2,0),"")</f>
        <v/>
      </c>
    </row>
    <row r="722" spans="1:8" x14ac:dyDescent="0.25">
      <c r="A722" s="54">
        <v>5010204001</v>
      </c>
      <c r="B722" s="54">
        <v>50102040</v>
      </c>
      <c r="C722" s="54">
        <f>RIGHT(Table1[[#This Row],[UACS]],2)*1</f>
        <v>1</v>
      </c>
      <c r="D722" s="54">
        <v>50102040</v>
      </c>
      <c r="E722" s="54">
        <f ca="1">IF(ISNUMBER(SEARCH($I$1,F722)),MAX($E$2:E721)+1,0)</f>
        <v>0</v>
      </c>
      <c r="F722" s="56" t="s">
        <v>798</v>
      </c>
      <c r="H722" s="55" t="str">
        <f ca="1">IFERROR(VLOOKUP(ROWS($H$3:H722),E:F,2,0),"")</f>
        <v/>
      </c>
    </row>
    <row r="723" spans="1:8" x14ac:dyDescent="0.25">
      <c r="A723" s="54">
        <v>5010204002</v>
      </c>
      <c r="B723" s="54">
        <v>50102040</v>
      </c>
      <c r="C723" s="54">
        <f>RIGHT(Table1[[#This Row],[UACS]],2)*1</f>
        <v>2</v>
      </c>
      <c r="D723" s="54">
        <v>50102040</v>
      </c>
      <c r="E723" s="54">
        <f ca="1">IF(ISNUMBER(SEARCH($I$1,F723)),MAX($E$2:E722)+1,0)</f>
        <v>0</v>
      </c>
      <c r="F723" s="56" t="s">
        <v>799</v>
      </c>
      <c r="H723" s="55" t="str">
        <f ca="1">IFERROR(VLOOKUP(ROWS($H$3:H723),E:F,2,0),"")</f>
        <v/>
      </c>
    </row>
    <row r="724" spans="1:8" x14ac:dyDescent="0.25">
      <c r="A724" s="54">
        <v>5010204003</v>
      </c>
      <c r="B724" s="54">
        <v>50102040</v>
      </c>
      <c r="C724" s="54">
        <f>RIGHT(Table1[[#This Row],[UACS]],2)*1</f>
        <v>3</v>
      </c>
      <c r="D724" s="54">
        <v>50102040</v>
      </c>
      <c r="E724" s="54">
        <f ca="1">IF(ISNUMBER(SEARCH($I$1,F724)),MAX($E$2:E723)+1,0)</f>
        <v>0</v>
      </c>
      <c r="F724" s="56" t="s">
        <v>800</v>
      </c>
      <c r="H724" s="55" t="str">
        <f ca="1">IFERROR(VLOOKUP(ROWS($H$3:H724),E:F,2,0),"")</f>
        <v/>
      </c>
    </row>
    <row r="725" spans="1:8" x14ac:dyDescent="0.25">
      <c r="A725" s="54">
        <v>5010204004</v>
      </c>
      <c r="B725" s="54">
        <v>50102040</v>
      </c>
      <c r="C725" s="54">
        <f>RIGHT(Table1[[#This Row],[UACS]],2)*1</f>
        <v>4</v>
      </c>
      <c r="D725" s="54">
        <v>50102040</v>
      </c>
      <c r="E725" s="54">
        <f ca="1">IF(ISNUMBER(SEARCH($I$1,F725)),MAX($E$2:E724)+1,0)</f>
        <v>0</v>
      </c>
      <c r="F725" s="56" t="s">
        <v>801</v>
      </c>
      <c r="H725" s="55" t="str">
        <f ca="1">IFERROR(VLOOKUP(ROWS($H$3:H725),E:F,2,0),"")</f>
        <v/>
      </c>
    </row>
    <row r="726" spans="1:8" x14ac:dyDescent="0.25">
      <c r="A726" s="54">
        <v>5010204005</v>
      </c>
      <c r="B726" s="54">
        <v>50102040</v>
      </c>
      <c r="C726" s="54">
        <f>RIGHT(Table1[[#This Row],[UACS]],2)*1</f>
        <v>5</v>
      </c>
      <c r="D726" s="54">
        <v>50102040</v>
      </c>
      <c r="E726" s="54">
        <f ca="1">IF(ISNUMBER(SEARCH($I$1,F726)),MAX($E$2:E725)+1,0)</f>
        <v>0</v>
      </c>
      <c r="F726" s="56" t="s">
        <v>802</v>
      </c>
      <c r="H726" s="55" t="str">
        <f ca="1">IFERROR(VLOOKUP(ROWS($H$3:H726),E:F,2,0),"")</f>
        <v/>
      </c>
    </row>
    <row r="727" spans="1:8" x14ac:dyDescent="0.25">
      <c r="A727" s="54">
        <v>5010204006</v>
      </c>
      <c r="B727" s="54">
        <v>50102040</v>
      </c>
      <c r="C727" s="54">
        <f>RIGHT(Table1[[#This Row],[UACS]],2)*1</f>
        <v>6</v>
      </c>
      <c r="D727" s="54">
        <v>50102040</v>
      </c>
      <c r="E727" s="54">
        <f ca="1">IF(ISNUMBER(SEARCH($I$1,F727)),MAX($E$2:E726)+1,0)</f>
        <v>0</v>
      </c>
      <c r="F727" s="56" t="s">
        <v>803</v>
      </c>
      <c r="H727" s="55" t="str">
        <f ca="1">IFERROR(VLOOKUP(ROWS($H$3:H727),E:F,2,0),"")</f>
        <v/>
      </c>
    </row>
    <row r="728" spans="1:8" x14ac:dyDescent="0.25">
      <c r="A728" s="54">
        <v>5010204007</v>
      </c>
      <c r="B728" s="54">
        <v>50102040</v>
      </c>
      <c r="C728" s="54">
        <f>RIGHT(Table1[[#This Row],[UACS]],2)*1</f>
        <v>7</v>
      </c>
      <c r="D728" s="54">
        <v>50102040</v>
      </c>
      <c r="E728" s="54">
        <f ca="1">IF(ISNUMBER(SEARCH($I$1,F728)),MAX($E$2:E727)+1,0)</f>
        <v>0</v>
      </c>
      <c r="F728" s="56" t="s">
        <v>804</v>
      </c>
      <c r="H728" s="55" t="str">
        <f ca="1">IFERROR(VLOOKUP(ROWS($H$3:H728),E:F,2,0),"")</f>
        <v/>
      </c>
    </row>
    <row r="729" spans="1:8" x14ac:dyDescent="0.25">
      <c r="A729" s="54">
        <v>5010204008</v>
      </c>
      <c r="B729" s="54">
        <v>50102040</v>
      </c>
      <c r="C729" s="54">
        <f>RIGHT(Table1[[#This Row],[UACS]],2)*1</f>
        <v>8</v>
      </c>
      <c r="D729" s="54">
        <v>50102040</v>
      </c>
      <c r="E729" s="54">
        <f ca="1">IF(ISNUMBER(SEARCH($I$1,F729)),MAX($E$2:E728)+1,0)</f>
        <v>0</v>
      </c>
      <c r="F729" s="56" t="s">
        <v>805</v>
      </c>
      <c r="H729" s="55" t="str">
        <f ca="1">IFERROR(VLOOKUP(ROWS($H$3:H729),E:F,2,0),"")</f>
        <v/>
      </c>
    </row>
    <row r="730" spans="1:8" x14ac:dyDescent="0.25">
      <c r="A730" s="54">
        <v>5010204009</v>
      </c>
      <c r="B730" s="54">
        <v>50102040</v>
      </c>
      <c r="C730" s="54">
        <f>RIGHT(Table1[[#This Row],[UACS]],2)*1</f>
        <v>9</v>
      </c>
      <c r="D730" s="54">
        <v>50102040</v>
      </c>
      <c r="E730" s="54">
        <f ca="1">IF(ISNUMBER(SEARCH($I$1,F730)),MAX($E$2:E729)+1,0)</f>
        <v>0</v>
      </c>
      <c r="F730" s="56" t="s">
        <v>806</v>
      </c>
      <c r="H730" s="55" t="str">
        <f ca="1">IFERROR(VLOOKUP(ROWS($H$3:H730),E:F,2,0),"")</f>
        <v/>
      </c>
    </row>
    <row r="731" spans="1:8" x14ac:dyDescent="0.25">
      <c r="A731" s="54">
        <v>5010204010</v>
      </c>
      <c r="B731" s="54">
        <v>50102040</v>
      </c>
      <c r="C731" s="54">
        <f>RIGHT(Table1[[#This Row],[UACS]],2)*1</f>
        <v>10</v>
      </c>
      <c r="D731" s="54">
        <v>50102040</v>
      </c>
      <c r="E731" s="54">
        <f ca="1">IF(ISNUMBER(SEARCH($I$1,F731)),MAX($E$2:E730)+1,0)</f>
        <v>0</v>
      </c>
      <c r="F731" s="56" t="s">
        <v>807</v>
      </c>
      <c r="H731" s="55" t="str">
        <f ca="1">IFERROR(VLOOKUP(ROWS($H$3:H731),E:F,2,0),"")</f>
        <v/>
      </c>
    </row>
    <row r="732" spans="1:8" x14ac:dyDescent="0.25">
      <c r="A732" s="54">
        <v>5010204011</v>
      </c>
      <c r="B732" s="54">
        <v>50102040</v>
      </c>
      <c r="C732" s="54">
        <f>RIGHT(Table1[[#This Row],[UACS]],2)*1</f>
        <v>11</v>
      </c>
      <c r="D732" s="54">
        <v>50102040</v>
      </c>
      <c r="E732" s="54">
        <f ca="1">IF(ISNUMBER(SEARCH($I$1,F732)),MAX($E$2:E731)+1,0)</f>
        <v>0</v>
      </c>
      <c r="F732" s="56" t="s">
        <v>808</v>
      </c>
      <c r="H732" s="55" t="str">
        <f ca="1">IFERROR(VLOOKUP(ROWS($H$3:H732),E:F,2,0),"")</f>
        <v/>
      </c>
    </row>
    <row r="733" spans="1:8" x14ac:dyDescent="0.25">
      <c r="A733" s="54">
        <v>5010205001</v>
      </c>
      <c r="B733" s="54">
        <v>50102050</v>
      </c>
      <c r="C733" s="54">
        <f>RIGHT(Table1[[#This Row],[UACS]],2)*1</f>
        <v>1</v>
      </c>
      <c r="D733" s="54">
        <v>50102050</v>
      </c>
      <c r="E733" s="54">
        <f ca="1">IF(ISNUMBER(SEARCH($I$1,F733)),MAX($E$2:E732)+1,0)</f>
        <v>0</v>
      </c>
      <c r="F733" s="56" t="s">
        <v>809</v>
      </c>
      <c r="H733" s="55" t="str">
        <f ca="1">IFERROR(VLOOKUP(ROWS($H$3:H733),E:F,2,0),"")</f>
        <v/>
      </c>
    </row>
    <row r="734" spans="1:8" x14ac:dyDescent="0.25">
      <c r="A734" s="54">
        <v>5010205002</v>
      </c>
      <c r="B734" s="54">
        <v>50102050</v>
      </c>
      <c r="C734" s="54">
        <f>RIGHT(Table1[[#This Row],[UACS]],2)*1</f>
        <v>2</v>
      </c>
      <c r="D734" s="54">
        <v>50102050</v>
      </c>
      <c r="E734" s="54">
        <f ca="1">IF(ISNUMBER(SEARCH($I$1,F734)),MAX($E$2:E733)+1,0)</f>
        <v>0</v>
      </c>
      <c r="F734" s="56" t="s">
        <v>810</v>
      </c>
      <c r="H734" s="55" t="str">
        <f ca="1">IFERROR(VLOOKUP(ROWS($H$3:H734),E:F,2,0),"")</f>
        <v/>
      </c>
    </row>
    <row r="735" spans="1:8" x14ac:dyDescent="0.25">
      <c r="A735" s="54">
        <v>5010205003</v>
      </c>
      <c r="B735" s="54">
        <v>50102050</v>
      </c>
      <c r="C735" s="54">
        <f>RIGHT(Table1[[#This Row],[UACS]],2)*1</f>
        <v>3</v>
      </c>
      <c r="D735" s="54">
        <v>50102050</v>
      </c>
      <c r="E735" s="54">
        <f ca="1">IF(ISNUMBER(SEARCH($I$1,F735)),MAX($E$2:E734)+1,0)</f>
        <v>7</v>
      </c>
      <c r="F735" s="56" t="s">
        <v>811</v>
      </c>
      <c r="H735" s="55" t="str">
        <f ca="1">IFERROR(VLOOKUP(ROWS($H$3:H735),E:F,2,0),"")</f>
        <v/>
      </c>
    </row>
    <row r="736" spans="1:8" x14ac:dyDescent="0.25">
      <c r="A736" s="54">
        <v>5010205004</v>
      </c>
      <c r="B736" s="54">
        <v>50102050</v>
      </c>
      <c r="C736" s="54">
        <f>RIGHT(Table1[[#This Row],[UACS]],2)*1</f>
        <v>4</v>
      </c>
      <c r="D736" s="54">
        <v>50102050</v>
      </c>
      <c r="E736" s="54">
        <f ca="1">IF(ISNUMBER(SEARCH($I$1,F736)),MAX($E$2:E735)+1,0)</f>
        <v>0</v>
      </c>
      <c r="F736" s="56" t="s">
        <v>812</v>
      </c>
      <c r="H736" s="55" t="str">
        <f ca="1">IFERROR(VLOOKUP(ROWS($H$3:H736),E:F,2,0),"")</f>
        <v/>
      </c>
    </row>
    <row r="737" spans="1:8" x14ac:dyDescent="0.25">
      <c r="A737" s="54">
        <v>5010206001</v>
      </c>
      <c r="B737" s="54">
        <v>50102060</v>
      </c>
      <c r="C737" s="54">
        <f>RIGHT(Table1[[#This Row],[UACS]],2)*1</f>
        <v>1</v>
      </c>
      <c r="D737" s="54">
        <v>50102060</v>
      </c>
      <c r="E737" s="54">
        <f ca="1">IF(ISNUMBER(SEARCH($I$1,F737)),MAX($E$2:E736)+1,0)</f>
        <v>0</v>
      </c>
      <c r="F737" s="56" t="s">
        <v>813</v>
      </c>
      <c r="H737" s="55" t="str">
        <f ca="1">IFERROR(VLOOKUP(ROWS($H$3:H737),E:F,2,0),"")</f>
        <v/>
      </c>
    </row>
    <row r="738" spans="1:8" x14ac:dyDescent="0.25">
      <c r="A738" s="54">
        <v>5010206002</v>
      </c>
      <c r="B738" s="54">
        <v>50102060</v>
      </c>
      <c r="C738" s="54">
        <f>RIGHT(Table1[[#This Row],[UACS]],2)*1</f>
        <v>2</v>
      </c>
      <c r="D738" s="54">
        <v>50102060</v>
      </c>
      <c r="E738" s="54">
        <f ca="1">IF(ISNUMBER(SEARCH($I$1,F738)),MAX($E$2:E737)+1,0)</f>
        <v>0</v>
      </c>
      <c r="F738" s="56" t="s">
        <v>814</v>
      </c>
      <c r="H738" s="55" t="str">
        <f ca="1">IFERROR(VLOOKUP(ROWS($H$3:H738),E:F,2,0),"")</f>
        <v/>
      </c>
    </row>
    <row r="739" spans="1:8" x14ac:dyDescent="0.25">
      <c r="A739" s="54">
        <v>5010206003</v>
      </c>
      <c r="B739" s="54">
        <v>50102060</v>
      </c>
      <c r="C739" s="54">
        <f>RIGHT(Table1[[#This Row],[UACS]],2)*1</f>
        <v>3</v>
      </c>
      <c r="D739" s="54">
        <v>50102060</v>
      </c>
      <c r="E739" s="54">
        <f ca="1">IF(ISNUMBER(SEARCH($I$1,F739)),MAX($E$2:E738)+1,0)</f>
        <v>0</v>
      </c>
      <c r="F739" s="56" t="s">
        <v>815</v>
      </c>
      <c r="H739" s="55" t="str">
        <f ca="1">IFERROR(VLOOKUP(ROWS($H$3:H739),E:F,2,0),"")</f>
        <v/>
      </c>
    </row>
    <row r="740" spans="1:8" x14ac:dyDescent="0.25">
      <c r="A740" s="54">
        <v>5010206004</v>
      </c>
      <c r="B740" s="54">
        <v>50102060</v>
      </c>
      <c r="C740" s="54">
        <f>RIGHT(Table1[[#This Row],[UACS]],2)*1</f>
        <v>4</v>
      </c>
      <c r="D740" s="54">
        <v>50102060</v>
      </c>
      <c r="E740" s="54">
        <f ca="1">IF(ISNUMBER(SEARCH($I$1,F740)),MAX($E$2:E739)+1,0)</f>
        <v>8</v>
      </c>
      <c r="F740" s="56" t="s">
        <v>816</v>
      </c>
      <c r="H740" s="55" t="str">
        <f ca="1">IFERROR(VLOOKUP(ROWS($H$3:H740),E:F,2,0),"")</f>
        <v/>
      </c>
    </row>
    <row r="741" spans="1:8" x14ac:dyDescent="0.25">
      <c r="A741" s="54">
        <v>5010206005</v>
      </c>
      <c r="B741" s="54">
        <v>50102060</v>
      </c>
      <c r="C741" s="54">
        <f>RIGHT(Table1[[#This Row],[UACS]],2)*1</f>
        <v>5</v>
      </c>
      <c r="D741" s="54">
        <v>50102060</v>
      </c>
      <c r="E741" s="54">
        <f ca="1">IF(ISNUMBER(SEARCH($I$1,F741)),MAX($E$2:E740)+1,0)</f>
        <v>0</v>
      </c>
      <c r="F741" s="56" t="s">
        <v>817</v>
      </c>
      <c r="H741" s="55" t="str">
        <f ca="1">IFERROR(VLOOKUP(ROWS($H$3:H741),E:F,2,0),"")</f>
        <v/>
      </c>
    </row>
    <row r="742" spans="1:8" x14ac:dyDescent="0.25">
      <c r="A742" s="54">
        <v>5010207001</v>
      </c>
      <c r="B742" s="54">
        <v>50102070</v>
      </c>
      <c r="C742" s="54">
        <f>RIGHT(Table1[[#This Row],[UACS]],2)*1</f>
        <v>1</v>
      </c>
      <c r="D742" s="54">
        <v>50102070</v>
      </c>
      <c r="E742" s="54">
        <f ca="1">IF(ISNUMBER(SEARCH($I$1,F742)),MAX($E$2:E741)+1,0)</f>
        <v>0</v>
      </c>
      <c r="F742" s="56" t="s">
        <v>818</v>
      </c>
      <c r="H742" s="55" t="str">
        <f ca="1">IFERROR(VLOOKUP(ROWS($H$3:H742),E:F,2,0),"")</f>
        <v/>
      </c>
    </row>
    <row r="743" spans="1:8" x14ac:dyDescent="0.25">
      <c r="A743" s="54">
        <v>5010207002</v>
      </c>
      <c r="B743" s="54">
        <v>50102070</v>
      </c>
      <c r="C743" s="54">
        <f>RIGHT(Table1[[#This Row],[UACS]],2)*1</f>
        <v>2</v>
      </c>
      <c r="D743" s="54">
        <v>50102070</v>
      </c>
      <c r="E743" s="54">
        <f ca="1">IF(ISNUMBER(SEARCH($I$1,F743)),MAX($E$2:E742)+1,0)</f>
        <v>0</v>
      </c>
      <c r="F743" s="56" t="s">
        <v>819</v>
      </c>
      <c r="H743" s="55" t="str">
        <f ca="1">IFERROR(VLOOKUP(ROWS($H$3:H743),E:F,2,0),"")</f>
        <v/>
      </c>
    </row>
    <row r="744" spans="1:8" x14ac:dyDescent="0.25">
      <c r="A744" s="54">
        <v>5010207003</v>
      </c>
      <c r="B744" s="54">
        <v>50102070</v>
      </c>
      <c r="C744" s="54">
        <f>RIGHT(Table1[[#This Row],[UACS]],2)*1</f>
        <v>3</v>
      </c>
      <c r="D744" s="54">
        <v>50102070</v>
      </c>
      <c r="E744" s="54">
        <f ca="1">IF(ISNUMBER(SEARCH($I$1,F744)),MAX($E$2:E743)+1,0)</f>
        <v>0</v>
      </c>
      <c r="F744" s="56" t="s">
        <v>820</v>
      </c>
      <c r="H744" s="55" t="str">
        <f ca="1">IFERROR(VLOOKUP(ROWS($H$3:H744),E:F,2,0),"")</f>
        <v/>
      </c>
    </row>
    <row r="745" spans="1:8" x14ac:dyDescent="0.25">
      <c r="A745" s="54">
        <v>5010207004</v>
      </c>
      <c r="B745" s="54">
        <v>50102070</v>
      </c>
      <c r="C745" s="54">
        <f>RIGHT(Table1[[#This Row],[UACS]],2)*1</f>
        <v>4</v>
      </c>
      <c r="D745" s="54">
        <v>50102070</v>
      </c>
      <c r="E745" s="54">
        <f ca="1">IF(ISNUMBER(SEARCH($I$1,F745)),MAX($E$2:E744)+1,0)</f>
        <v>9</v>
      </c>
      <c r="F745" s="56" t="s">
        <v>821</v>
      </c>
      <c r="H745" s="55" t="str">
        <f ca="1">IFERROR(VLOOKUP(ROWS($H$3:H745),E:F,2,0),"")</f>
        <v/>
      </c>
    </row>
    <row r="746" spans="1:8" x14ac:dyDescent="0.25">
      <c r="A746" s="54">
        <v>5010207005</v>
      </c>
      <c r="B746" s="54">
        <v>50102070</v>
      </c>
      <c r="C746" s="54">
        <f>RIGHT(Table1[[#This Row],[UACS]],2)*1</f>
        <v>5</v>
      </c>
      <c r="D746" s="54">
        <v>50102070</v>
      </c>
      <c r="E746" s="54">
        <f ca="1">IF(ISNUMBER(SEARCH($I$1,F746)),MAX($E$2:E745)+1,0)</f>
        <v>0</v>
      </c>
      <c r="F746" s="56" t="s">
        <v>822</v>
      </c>
      <c r="H746" s="55" t="str">
        <f ca="1">IFERROR(VLOOKUP(ROWS($H$3:H746),E:F,2,0),"")</f>
        <v/>
      </c>
    </row>
    <row r="747" spans="1:8" x14ac:dyDescent="0.25">
      <c r="A747" s="54">
        <v>5010208001</v>
      </c>
      <c r="B747" s="54">
        <v>50102080</v>
      </c>
      <c r="C747" s="54">
        <f>RIGHT(Table1[[#This Row],[UACS]],2)*1</f>
        <v>1</v>
      </c>
      <c r="D747" s="54">
        <v>50102080</v>
      </c>
      <c r="E747" s="54">
        <f ca="1">IF(ISNUMBER(SEARCH($I$1,F747)),MAX($E$2:E746)+1,0)</f>
        <v>0</v>
      </c>
      <c r="F747" s="56" t="s">
        <v>823</v>
      </c>
      <c r="H747" s="55" t="str">
        <f ca="1">IFERROR(VLOOKUP(ROWS($H$3:H747),E:F,2,0),"")</f>
        <v/>
      </c>
    </row>
    <row r="748" spans="1:8" x14ac:dyDescent="0.25">
      <c r="A748" s="54">
        <v>5010208002</v>
      </c>
      <c r="B748" s="54">
        <v>50102080</v>
      </c>
      <c r="C748" s="54">
        <f>RIGHT(Table1[[#This Row],[UACS]],2)*1</f>
        <v>2</v>
      </c>
      <c r="D748" s="54">
        <v>50102080</v>
      </c>
      <c r="E748" s="54">
        <f ca="1">IF(ISNUMBER(SEARCH($I$1,F748)),MAX($E$2:E747)+1,0)</f>
        <v>0</v>
      </c>
      <c r="F748" s="56" t="s">
        <v>824</v>
      </c>
      <c r="H748" s="55" t="str">
        <f ca="1">IFERROR(VLOOKUP(ROWS($H$3:H748),E:F,2,0),"")</f>
        <v/>
      </c>
    </row>
    <row r="749" spans="1:8" x14ac:dyDescent="0.25">
      <c r="A749" s="54">
        <v>5010209001</v>
      </c>
      <c r="B749" s="54">
        <v>50102090</v>
      </c>
      <c r="C749" s="54">
        <f>RIGHT(Table1[[#This Row],[UACS]],2)*1</f>
        <v>1</v>
      </c>
      <c r="D749" s="54">
        <v>50102090</v>
      </c>
      <c r="E749" s="54">
        <f ca="1">IF(ISNUMBER(SEARCH($I$1,F749)),MAX($E$2:E748)+1,0)</f>
        <v>0</v>
      </c>
      <c r="F749" s="56" t="s">
        <v>825</v>
      </c>
      <c r="H749" s="55" t="str">
        <f ca="1">IFERROR(VLOOKUP(ROWS($H$3:H749),E:F,2,0),"")</f>
        <v/>
      </c>
    </row>
    <row r="750" spans="1:8" x14ac:dyDescent="0.25">
      <c r="A750" s="54">
        <v>5010209002</v>
      </c>
      <c r="B750" s="54">
        <v>50102090</v>
      </c>
      <c r="C750" s="54">
        <f>RIGHT(Table1[[#This Row],[UACS]],2)*1</f>
        <v>2</v>
      </c>
      <c r="D750" s="54">
        <v>50102090</v>
      </c>
      <c r="E750" s="54">
        <f ca="1">IF(ISNUMBER(SEARCH($I$1,F750)),MAX($E$2:E749)+1,0)</f>
        <v>0</v>
      </c>
      <c r="F750" s="56" t="s">
        <v>826</v>
      </c>
      <c r="H750" s="55" t="str">
        <f ca="1">IFERROR(VLOOKUP(ROWS($H$3:H750),E:F,2,0),"")</f>
        <v/>
      </c>
    </row>
    <row r="751" spans="1:8" x14ac:dyDescent="0.25">
      <c r="A751" s="54">
        <v>5010210001</v>
      </c>
      <c r="B751" s="54">
        <v>50102100</v>
      </c>
      <c r="C751" s="54">
        <f>RIGHT(Table1[[#This Row],[UACS]],2)*1</f>
        <v>1</v>
      </c>
      <c r="D751" s="54">
        <v>50102100</v>
      </c>
      <c r="E751" s="54">
        <f ca="1">IF(ISNUMBER(SEARCH($I$1,F751)),MAX($E$2:E750)+1,0)</f>
        <v>0</v>
      </c>
      <c r="F751" s="56" t="s">
        <v>827</v>
      </c>
      <c r="H751" s="55" t="str">
        <f ca="1">IFERROR(VLOOKUP(ROWS($H$3:H751),E:F,2,0),"")</f>
        <v/>
      </c>
    </row>
    <row r="752" spans="1:8" x14ac:dyDescent="0.25">
      <c r="A752" s="54">
        <v>5010210002</v>
      </c>
      <c r="B752" s="54">
        <v>50102100</v>
      </c>
      <c r="C752" s="54">
        <f>RIGHT(Table1[[#This Row],[UACS]],2)*1</f>
        <v>2</v>
      </c>
      <c r="D752" s="54">
        <v>50102100</v>
      </c>
      <c r="E752" s="54">
        <f ca="1">IF(ISNUMBER(SEARCH($I$1,F752)),MAX($E$2:E751)+1,0)</f>
        <v>0</v>
      </c>
      <c r="F752" s="56" t="s">
        <v>828</v>
      </c>
      <c r="H752" s="55" t="str">
        <f ca="1">IFERROR(VLOOKUP(ROWS($H$3:H752),E:F,2,0),"")</f>
        <v/>
      </c>
    </row>
    <row r="753" spans="1:8" x14ac:dyDescent="0.25">
      <c r="A753" s="54">
        <v>5010210003</v>
      </c>
      <c r="B753" s="54">
        <v>50102100</v>
      </c>
      <c r="C753" s="54">
        <f>RIGHT(Table1[[#This Row],[UACS]],2)*1</f>
        <v>3</v>
      </c>
      <c r="D753" s="54">
        <v>50102100</v>
      </c>
      <c r="E753" s="54">
        <f ca="1">IF(ISNUMBER(SEARCH($I$1,F753)),MAX($E$2:E752)+1,0)</f>
        <v>0</v>
      </c>
      <c r="F753" s="56" t="s">
        <v>829</v>
      </c>
      <c r="H753" s="55" t="str">
        <f ca="1">IFERROR(VLOOKUP(ROWS($H$3:H753),E:F,2,0),"")</f>
        <v/>
      </c>
    </row>
    <row r="754" spans="1:8" x14ac:dyDescent="0.25">
      <c r="A754" s="54">
        <v>5010210004</v>
      </c>
      <c r="B754" s="54">
        <v>50102100</v>
      </c>
      <c r="C754" s="54">
        <f>RIGHT(Table1[[#This Row],[UACS]],2)*1</f>
        <v>4</v>
      </c>
      <c r="D754" s="54">
        <v>50102100</v>
      </c>
      <c r="E754" s="54">
        <f ca="1">IF(ISNUMBER(SEARCH($I$1,F754)),MAX($E$2:E753)+1,0)</f>
        <v>10</v>
      </c>
      <c r="F754" s="56" t="s">
        <v>830</v>
      </c>
      <c r="H754" s="55" t="str">
        <f ca="1">IFERROR(VLOOKUP(ROWS($H$3:H754),E:F,2,0),"")</f>
        <v/>
      </c>
    </row>
    <row r="755" spans="1:8" x14ac:dyDescent="0.25">
      <c r="A755" s="54">
        <v>5010210005</v>
      </c>
      <c r="B755" s="54">
        <v>50102100</v>
      </c>
      <c r="C755" s="54">
        <f>RIGHT(Table1[[#This Row],[UACS]],2)*1</f>
        <v>5</v>
      </c>
      <c r="D755" s="54">
        <v>50102100</v>
      </c>
      <c r="E755" s="54">
        <f ca="1">IF(ISNUMBER(SEARCH($I$1,F755)),MAX($E$2:E754)+1,0)</f>
        <v>0</v>
      </c>
      <c r="F755" s="56" t="s">
        <v>831</v>
      </c>
      <c r="H755" s="55" t="str">
        <f ca="1">IFERROR(VLOOKUP(ROWS($H$3:H755),E:F,2,0),"")</f>
        <v/>
      </c>
    </row>
    <row r="756" spans="1:8" x14ac:dyDescent="0.25">
      <c r="A756" s="54">
        <v>5010211001</v>
      </c>
      <c r="B756" s="54">
        <v>50102110</v>
      </c>
      <c r="C756" s="54">
        <f>RIGHT(Table1[[#This Row],[UACS]],2)*1</f>
        <v>1</v>
      </c>
      <c r="D756" s="54">
        <v>50102110</v>
      </c>
      <c r="E756" s="54">
        <f ca="1">IF(ISNUMBER(SEARCH($I$1,F756)),MAX($E$2:E755)+1,0)</f>
        <v>0</v>
      </c>
      <c r="F756" s="56" t="s">
        <v>832</v>
      </c>
      <c r="H756" s="55" t="str">
        <f ca="1">IFERROR(VLOOKUP(ROWS($H$3:H756),E:F,2,0),"")</f>
        <v/>
      </c>
    </row>
    <row r="757" spans="1:8" x14ac:dyDescent="0.25">
      <c r="A757" s="54">
        <v>5010211002</v>
      </c>
      <c r="B757" s="54">
        <v>50102110</v>
      </c>
      <c r="C757" s="54">
        <f>RIGHT(Table1[[#This Row],[UACS]],2)*1</f>
        <v>2</v>
      </c>
      <c r="D757" s="54">
        <v>50102110</v>
      </c>
      <c r="E757" s="54">
        <f ca="1">IF(ISNUMBER(SEARCH($I$1,F757)),MAX($E$2:E756)+1,0)</f>
        <v>0</v>
      </c>
      <c r="F757" s="56" t="s">
        <v>833</v>
      </c>
      <c r="H757" s="55" t="str">
        <f ca="1">IFERROR(VLOOKUP(ROWS($H$3:H757),E:F,2,0),"")</f>
        <v/>
      </c>
    </row>
    <row r="758" spans="1:8" x14ac:dyDescent="0.25">
      <c r="A758" s="54">
        <v>5010211003</v>
      </c>
      <c r="B758" s="54">
        <v>50102110</v>
      </c>
      <c r="C758" s="54">
        <f>RIGHT(Table1[[#This Row],[UACS]],2)*1</f>
        <v>3</v>
      </c>
      <c r="D758" s="54">
        <v>50102110</v>
      </c>
      <c r="E758" s="54">
        <f ca="1">IF(ISNUMBER(SEARCH($I$1,F758)),MAX($E$2:E757)+1,0)</f>
        <v>0</v>
      </c>
      <c r="F758" s="56" t="s">
        <v>834</v>
      </c>
      <c r="H758" s="55" t="str">
        <f ca="1">IFERROR(VLOOKUP(ROWS($H$3:H758),E:F,2,0),"")</f>
        <v/>
      </c>
    </row>
    <row r="759" spans="1:8" x14ac:dyDescent="0.25">
      <c r="A759" s="54">
        <v>5010211004</v>
      </c>
      <c r="B759" s="54">
        <v>50102110</v>
      </c>
      <c r="C759" s="54">
        <f>RIGHT(Table1[[#This Row],[UACS]],2)*1</f>
        <v>4</v>
      </c>
      <c r="D759" s="54">
        <v>50102110</v>
      </c>
      <c r="E759" s="54">
        <f ca="1">IF(ISNUMBER(SEARCH($I$1,F759)),MAX($E$2:E758)+1,0)</f>
        <v>0</v>
      </c>
      <c r="F759" s="56" t="s">
        <v>835</v>
      </c>
      <c r="H759" s="55" t="str">
        <f ca="1">IFERROR(VLOOKUP(ROWS($H$3:H759),E:F,2,0),"")</f>
        <v/>
      </c>
    </row>
    <row r="760" spans="1:8" x14ac:dyDescent="0.25">
      <c r="A760" s="54">
        <v>5010211005</v>
      </c>
      <c r="B760" s="54">
        <v>50102110</v>
      </c>
      <c r="C760" s="54">
        <f>RIGHT(Table1[[#This Row],[UACS]],2)*1</f>
        <v>5</v>
      </c>
      <c r="D760" s="54">
        <v>50102110</v>
      </c>
      <c r="E760" s="54">
        <f ca="1">IF(ISNUMBER(SEARCH($I$1,F760)),MAX($E$2:E759)+1,0)</f>
        <v>11</v>
      </c>
      <c r="F760" s="56" t="s">
        <v>836</v>
      </c>
      <c r="H760" s="55" t="str">
        <f ca="1">IFERROR(VLOOKUP(ROWS($H$3:H760),E:F,2,0),"")</f>
        <v/>
      </c>
    </row>
    <row r="761" spans="1:8" x14ac:dyDescent="0.25">
      <c r="A761" s="54">
        <v>5010211006</v>
      </c>
      <c r="B761" s="54">
        <v>50102110</v>
      </c>
      <c r="C761" s="54">
        <f>RIGHT(Table1[[#This Row],[UACS]],2)*1</f>
        <v>6</v>
      </c>
      <c r="D761" s="54">
        <v>50102110</v>
      </c>
      <c r="E761" s="54">
        <f ca="1">IF(ISNUMBER(SEARCH($I$1,F761)),MAX($E$2:E760)+1,0)</f>
        <v>0</v>
      </c>
      <c r="F761" s="56" t="s">
        <v>837</v>
      </c>
      <c r="H761" s="55" t="str">
        <f ca="1">IFERROR(VLOOKUP(ROWS($H$3:H761),E:F,2,0),"")</f>
        <v/>
      </c>
    </row>
    <row r="762" spans="1:8" x14ac:dyDescent="0.25">
      <c r="A762" s="54">
        <v>5010211007</v>
      </c>
      <c r="B762" s="54">
        <v>50102110</v>
      </c>
      <c r="C762" s="54">
        <f>RIGHT(Table1[[#This Row],[UACS]],2)*1</f>
        <v>7</v>
      </c>
      <c r="D762" s="54">
        <v>50102110</v>
      </c>
      <c r="E762" s="54">
        <f ca="1">IF(ISNUMBER(SEARCH($I$1,F762)),MAX($E$2:E761)+1,0)</f>
        <v>0</v>
      </c>
      <c r="F762" s="56" t="s">
        <v>838</v>
      </c>
      <c r="H762" s="55" t="str">
        <f ca="1">IFERROR(VLOOKUP(ROWS($H$3:H762),E:F,2,0),"")</f>
        <v/>
      </c>
    </row>
    <row r="763" spans="1:8" x14ac:dyDescent="0.25">
      <c r="A763" s="54">
        <v>5010211008</v>
      </c>
      <c r="B763" s="54">
        <v>50102110</v>
      </c>
      <c r="C763" s="54">
        <f>RIGHT(Table1[[#This Row],[UACS]],2)*1</f>
        <v>8</v>
      </c>
      <c r="D763" s="54">
        <v>50102110</v>
      </c>
      <c r="E763" s="54">
        <f ca="1">IF(ISNUMBER(SEARCH($I$1,F763)),MAX($E$2:E762)+1,0)</f>
        <v>0</v>
      </c>
      <c r="F763" s="56" t="s">
        <v>839</v>
      </c>
      <c r="H763" s="55" t="str">
        <f ca="1">IFERROR(VLOOKUP(ROWS($H$3:H763),E:F,2,0),"")</f>
        <v/>
      </c>
    </row>
    <row r="764" spans="1:8" x14ac:dyDescent="0.25">
      <c r="A764" s="54">
        <v>5010211009</v>
      </c>
      <c r="B764" s="54">
        <v>50102110</v>
      </c>
      <c r="C764" s="54">
        <f>RIGHT(Table1[[#This Row],[UACS]],2)*1</f>
        <v>9</v>
      </c>
      <c r="D764" s="54">
        <v>50102110</v>
      </c>
      <c r="E764" s="54">
        <f ca="1">IF(ISNUMBER(SEARCH($I$1,F764)),MAX($E$2:E763)+1,0)</f>
        <v>0</v>
      </c>
      <c r="F764" s="56" t="s">
        <v>840</v>
      </c>
      <c r="H764" s="55" t="str">
        <f ca="1">IFERROR(VLOOKUP(ROWS($H$3:H764),E:F,2,0),"")</f>
        <v/>
      </c>
    </row>
    <row r="765" spans="1:8" x14ac:dyDescent="0.25">
      <c r="A765" s="54">
        <v>5010212001</v>
      </c>
      <c r="B765" s="54">
        <v>50102120</v>
      </c>
      <c r="C765" s="54">
        <f>RIGHT(Table1[[#This Row],[UACS]],2)*1</f>
        <v>1</v>
      </c>
      <c r="D765" s="54">
        <v>50102120</v>
      </c>
      <c r="E765" s="54">
        <f ca="1">IF(ISNUMBER(SEARCH($I$1,F765)),MAX($E$2:E764)+1,0)</f>
        <v>0</v>
      </c>
      <c r="F765" s="56" t="s">
        <v>841</v>
      </c>
      <c r="H765" s="55" t="str">
        <f ca="1">IFERROR(VLOOKUP(ROWS($H$3:H765),E:F,2,0),"")</f>
        <v/>
      </c>
    </row>
    <row r="766" spans="1:8" x14ac:dyDescent="0.25">
      <c r="A766" s="54">
        <v>5010212002</v>
      </c>
      <c r="B766" s="54">
        <v>50102120</v>
      </c>
      <c r="C766" s="54">
        <f>RIGHT(Table1[[#This Row],[UACS]],2)*1</f>
        <v>2</v>
      </c>
      <c r="D766" s="54">
        <v>50102120</v>
      </c>
      <c r="E766" s="54">
        <f ca="1">IF(ISNUMBER(SEARCH($I$1,F766)),MAX($E$2:E765)+1,0)</f>
        <v>0</v>
      </c>
      <c r="F766" s="56" t="s">
        <v>842</v>
      </c>
      <c r="H766" s="55" t="str">
        <f ca="1">IFERROR(VLOOKUP(ROWS($H$3:H766),E:F,2,0),"")</f>
        <v/>
      </c>
    </row>
    <row r="767" spans="1:8" x14ac:dyDescent="0.25">
      <c r="A767" s="54">
        <v>5010212003</v>
      </c>
      <c r="B767" s="54">
        <v>50102120</v>
      </c>
      <c r="C767" s="54">
        <f>RIGHT(Table1[[#This Row],[UACS]],2)*1</f>
        <v>3</v>
      </c>
      <c r="D767" s="54">
        <v>50102120</v>
      </c>
      <c r="E767" s="54">
        <f ca="1">IF(ISNUMBER(SEARCH($I$1,F767)),MAX($E$2:E766)+1,0)</f>
        <v>0</v>
      </c>
      <c r="F767" s="56" t="s">
        <v>843</v>
      </c>
      <c r="H767" s="55" t="str">
        <f ca="1">IFERROR(VLOOKUP(ROWS($H$3:H767),E:F,2,0),"")</f>
        <v/>
      </c>
    </row>
    <row r="768" spans="1:8" x14ac:dyDescent="0.25">
      <c r="A768" s="54">
        <v>5010212004</v>
      </c>
      <c r="B768" s="54">
        <v>50102120</v>
      </c>
      <c r="C768" s="54">
        <f>RIGHT(Table1[[#This Row],[UACS]],2)*1</f>
        <v>4</v>
      </c>
      <c r="D768" s="54">
        <v>50102120</v>
      </c>
      <c r="E768" s="54">
        <f ca="1">IF(ISNUMBER(SEARCH($I$1,F768)),MAX($E$2:E767)+1,0)</f>
        <v>12</v>
      </c>
      <c r="F768" s="56" t="s">
        <v>844</v>
      </c>
      <c r="H768" s="55" t="str">
        <f ca="1">IFERROR(VLOOKUP(ROWS($H$3:H768),E:F,2,0),"")</f>
        <v/>
      </c>
    </row>
    <row r="769" spans="1:8" x14ac:dyDescent="0.25">
      <c r="A769" s="54">
        <v>5010212005</v>
      </c>
      <c r="B769" s="54">
        <v>50102120</v>
      </c>
      <c r="C769" s="54">
        <f>RIGHT(Table1[[#This Row],[UACS]],2)*1</f>
        <v>5</v>
      </c>
      <c r="D769" s="54">
        <v>50102120</v>
      </c>
      <c r="E769" s="54">
        <f ca="1">IF(ISNUMBER(SEARCH($I$1,F769)),MAX($E$2:E768)+1,0)</f>
        <v>0</v>
      </c>
      <c r="F769" s="56" t="s">
        <v>845</v>
      </c>
      <c r="H769" s="55" t="str">
        <f ca="1">IFERROR(VLOOKUP(ROWS($H$3:H769),E:F,2,0),"")</f>
        <v/>
      </c>
    </row>
    <row r="770" spans="1:8" x14ac:dyDescent="0.25">
      <c r="A770" s="54">
        <v>5010213001</v>
      </c>
      <c r="B770" s="54">
        <v>50102130</v>
      </c>
      <c r="C770" s="54">
        <f>RIGHT(Table1[[#This Row],[UACS]],2)*1</f>
        <v>1</v>
      </c>
      <c r="D770" s="54">
        <v>50102130</v>
      </c>
      <c r="E770" s="54">
        <f ca="1">IF(ISNUMBER(SEARCH($I$1,F770)),MAX($E$2:E769)+1,0)</f>
        <v>0</v>
      </c>
      <c r="F770" s="56" t="s">
        <v>846</v>
      </c>
      <c r="H770" s="55" t="str">
        <f ca="1">IFERROR(VLOOKUP(ROWS($H$3:H770),E:F,2,0),"")</f>
        <v/>
      </c>
    </row>
    <row r="771" spans="1:8" x14ac:dyDescent="0.25">
      <c r="A771" s="54">
        <v>5010213002</v>
      </c>
      <c r="B771" s="54">
        <v>50102130</v>
      </c>
      <c r="C771" s="54">
        <f>RIGHT(Table1[[#This Row],[UACS]],2)*1</f>
        <v>2</v>
      </c>
      <c r="D771" s="54">
        <v>50102130</v>
      </c>
      <c r="E771" s="54">
        <f ca="1">IF(ISNUMBER(SEARCH($I$1,F771)),MAX($E$2:E770)+1,0)</f>
        <v>0</v>
      </c>
      <c r="F771" s="56" t="s">
        <v>847</v>
      </c>
      <c r="H771" s="55" t="str">
        <f ca="1">IFERROR(VLOOKUP(ROWS($H$3:H771),E:F,2,0),"")</f>
        <v/>
      </c>
    </row>
    <row r="772" spans="1:8" x14ac:dyDescent="0.25">
      <c r="A772" s="54">
        <v>5010214001</v>
      </c>
      <c r="B772" s="54">
        <v>50102140</v>
      </c>
      <c r="C772" s="54">
        <f>RIGHT(Table1[[#This Row],[UACS]],2)*1</f>
        <v>1</v>
      </c>
      <c r="D772" s="54">
        <v>50102140</v>
      </c>
      <c r="E772" s="54">
        <f ca="1">IF(ISNUMBER(SEARCH($I$1,F772)),MAX($E$2:E771)+1,0)</f>
        <v>0</v>
      </c>
      <c r="F772" s="56" t="s">
        <v>848</v>
      </c>
      <c r="H772" s="55" t="str">
        <f ca="1">IFERROR(VLOOKUP(ROWS($H$3:H772),E:F,2,0),"")</f>
        <v/>
      </c>
    </row>
    <row r="773" spans="1:8" x14ac:dyDescent="0.25">
      <c r="A773" s="54">
        <v>5010214002</v>
      </c>
      <c r="B773" s="54">
        <v>50102140</v>
      </c>
      <c r="C773" s="54">
        <f>RIGHT(Table1[[#This Row],[UACS]],2)*1</f>
        <v>2</v>
      </c>
      <c r="D773" s="54">
        <v>50102140</v>
      </c>
      <c r="E773" s="54">
        <f ca="1">IF(ISNUMBER(SEARCH($I$1,F773)),MAX($E$2:E772)+1,0)</f>
        <v>0</v>
      </c>
      <c r="F773" s="56" t="s">
        <v>849</v>
      </c>
      <c r="H773" s="55" t="str">
        <f ca="1">IFERROR(VLOOKUP(ROWS($H$3:H773),E:F,2,0),"")</f>
        <v/>
      </c>
    </row>
    <row r="774" spans="1:8" x14ac:dyDescent="0.25">
      <c r="A774" s="54">
        <v>5010215001</v>
      </c>
      <c r="B774" s="54">
        <v>50102150</v>
      </c>
      <c r="C774" s="54">
        <f>RIGHT(Table1[[#This Row],[UACS]],2)*1</f>
        <v>1</v>
      </c>
      <c r="D774" s="54">
        <v>50102150</v>
      </c>
      <c r="E774" s="54">
        <f ca="1">IF(ISNUMBER(SEARCH($I$1,F774)),MAX($E$2:E773)+1,0)</f>
        <v>0</v>
      </c>
      <c r="F774" s="56" t="s">
        <v>850</v>
      </c>
      <c r="H774" s="55" t="str">
        <f ca="1">IFERROR(VLOOKUP(ROWS($H$3:H774),E:F,2,0),"")</f>
        <v/>
      </c>
    </row>
    <row r="775" spans="1:8" x14ac:dyDescent="0.25">
      <c r="A775" s="54">
        <v>5010215002</v>
      </c>
      <c r="B775" s="54">
        <v>50102150</v>
      </c>
      <c r="C775" s="54">
        <f>RIGHT(Table1[[#This Row],[UACS]],2)*1</f>
        <v>2</v>
      </c>
      <c r="D775" s="54">
        <v>50102150</v>
      </c>
      <c r="E775" s="54">
        <f ca="1">IF(ISNUMBER(SEARCH($I$1,F775)),MAX($E$2:E774)+1,0)</f>
        <v>0</v>
      </c>
      <c r="F775" s="56" t="s">
        <v>851</v>
      </c>
      <c r="H775" s="55" t="str">
        <f ca="1">IFERROR(VLOOKUP(ROWS($H$3:H775),E:F,2,0),"")</f>
        <v/>
      </c>
    </row>
    <row r="776" spans="1:8" x14ac:dyDescent="0.25">
      <c r="A776" s="54">
        <v>5010299001</v>
      </c>
      <c r="B776" s="54">
        <v>50102990</v>
      </c>
      <c r="C776" s="54">
        <f>RIGHT(Table1[[#This Row],[UACS]],2)*1</f>
        <v>1</v>
      </c>
      <c r="D776" s="54">
        <v>50102990</v>
      </c>
      <c r="E776" s="54">
        <f ca="1">IF(ISNUMBER(SEARCH($I$1,F776)),MAX($E$2:E775)+1,0)</f>
        <v>0</v>
      </c>
      <c r="F776" s="56" t="s">
        <v>852</v>
      </c>
      <c r="H776" s="55" t="str">
        <f ca="1">IFERROR(VLOOKUP(ROWS($H$3:H776),E:F,2,0),"")</f>
        <v/>
      </c>
    </row>
    <row r="777" spans="1:8" x14ac:dyDescent="0.25">
      <c r="A777" s="54">
        <v>5010299002</v>
      </c>
      <c r="B777" s="54">
        <v>50102990</v>
      </c>
      <c r="C777" s="54">
        <f>RIGHT(Table1[[#This Row],[UACS]],2)*1</f>
        <v>2</v>
      </c>
      <c r="D777" s="54">
        <v>50102990</v>
      </c>
      <c r="E777" s="54">
        <f ca="1">IF(ISNUMBER(SEARCH($I$1,F777)),MAX($E$2:E776)+1,0)</f>
        <v>0</v>
      </c>
      <c r="F777" s="56" t="s">
        <v>853</v>
      </c>
      <c r="H777" s="55" t="str">
        <f ca="1">IFERROR(VLOOKUP(ROWS($H$3:H777),E:F,2,0),"")</f>
        <v/>
      </c>
    </row>
    <row r="778" spans="1:8" x14ac:dyDescent="0.25">
      <c r="A778" s="54">
        <v>5010299003</v>
      </c>
      <c r="B778" s="54">
        <v>50102990</v>
      </c>
      <c r="C778" s="54">
        <f>RIGHT(Table1[[#This Row],[UACS]],2)*1</f>
        <v>3</v>
      </c>
      <c r="D778" s="54">
        <v>50102990</v>
      </c>
      <c r="E778" s="54">
        <f ca="1">IF(ISNUMBER(SEARCH($I$1,F778)),MAX($E$2:E777)+1,0)</f>
        <v>0</v>
      </c>
      <c r="F778" s="56" t="s">
        <v>854</v>
      </c>
      <c r="H778" s="55" t="str">
        <f ca="1">IFERROR(VLOOKUP(ROWS($H$3:H778),E:F,2,0),"")</f>
        <v/>
      </c>
    </row>
    <row r="779" spans="1:8" x14ac:dyDescent="0.25">
      <c r="A779" s="54">
        <v>5010299004</v>
      </c>
      <c r="B779" s="54">
        <v>50102990</v>
      </c>
      <c r="C779" s="54">
        <f>RIGHT(Table1[[#This Row],[UACS]],2)*1</f>
        <v>4</v>
      </c>
      <c r="D779" s="54">
        <v>50102990</v>
      </c>
      <c r="E779" s="54">
        <f ca="1">IF(ISNUMBER(SEARCH($I$1,F779)),MAX($E$2:E778)+1,0)</f>
        <v>0</v>
      </c>
      <c r="F779" s="56" t="s">
        <v>855</v>
      </c>
      <c r="H779" s="55" t="str">
        <f ca="1">IFERROR(VLOOKUP(ROWS($H$3:H779),E:F,2,0),"")</f>
        <v/>
      </c>
    </row>
    <row r="780" spans="1:8" x14ac:dyDescent="0.25">
      <c r="A780" s="54">
        <v>5010299005</v>
      </c>
      <c r="B780" s="54">
        <v>50102990</v>
      </c>
      <c r="C780" s="54">
        <f>RIGHT(Table1[[#This Row],[UACS]],2)*1</f>
        <v>5</v>
      </c>
      <c r="D780" s="54">
        <v>50102990</v>
      </c>
      <c r="E780" s="54">
        <f ca="1">IF(ISNUMBER(SEARCH($I$1,F780)),MAX($E$2:E779)+1,0)</f>
        <v>0</v>
      </c>
      <c r="F780" s="56" t="s">
        <v>856</v>
      </c>
      <c r="H780" s="55" t="str">
        <f ca="1">IFERROR(VLOOKUP(ROWS($H$3:H780),E:F,2,0),"")</f>
        <v/>
      </c>
    </row>
    <row r="781" spans="1:8" x14ac:dyDescent="0.25">
      <c r="A781" s="54">
        <v>5010299006</v>
      </c>
      <c r="B781" s="54">
        <v>50102990</v>
      </c>
      <c r="C781" s="54">
        <f>RIGHT(Table1[[#This Row],[UACS]],2)*1</f>
        <v>6</v>
      </c>
      <c r="D781" s="54">
        <v>50102990</v>
      </c>
      <c r="E781" s="54">
        <f ca="1">IF(ISNUMBER(SEARCH($I$1,F781)),MAX($E$2:E780)+1,0)</f>
        <v>0</v>
      </c>
      <c r="F781" s="56" t="s">
        <v>857</v>
      </c>
      <c r="H781" s="55" t="str">
        <f ca="1">IFERROR(VLOOKUP(ROWS($H$3:H781),E:F,2,0),"")</f>
        <v/>
      </c>
    </row>
    <row r="782" spans="1:8" x14ac:dyDescent="0.25">
      <c r="A782" s="54">
        <v>5010299007</v>
      </c>
      <c r="B782" s="54">
        <v>50102990</v>
      </c>
      <c r="C782" s="54">
        <f>RIGHT(Table1[[#This Row],[UACS]],2)*1</f>
        <v>7</v>
      </c>
      <c r="D782" s="54">
        <v>50102990</v>
      </c>
      <c r="E782" s="54">
        <f ca="1">IF(ISNUMBER(SEARCH($I$1,F782)),MAX($E$2:E781)+1,0)</f>
        <v>0</v>
      </c>
      <c r="F782" s="56" t="s">
        <v>858</v>
      </c>
      <c r="H782" s="55" t="str">
        <f ca="1">IFERROR(VLOOKUP(ROWS($H$3:H782),E:F,2,0),"")</f>
        <v/>
      </c>
    </row>
    <row r="783" spans="1:8" x14ac:dyDescent="0.25">
      <c r="A783" s="54">
        <v>5010299008</v>
      </c>
      <c r="B783" s="54">
        <v>50102990</v>
      </c>
      <c r="C783" s="54">
        <f>RIGHT(Table1[[#This Row],[UACS]],2)*1</f>
        <v>8</v>
      </c>
      <c r="D783" s="54">
        <v>50102990</v>
      </c>
      <c r="E783" s="54">
        <f ca="1">IF(ISNUMBER(SEARCH($I$1,F783)),MAX($E$2:E782)+1,0)</f>
        <v>0</v>
      </c>
      <c r="F783" s="56" t="s">
        <v>859</v>
      </c>
      <c r="H783" s="55" t="str">
        <f ca="1">IFERROR(VLOOKUP(ROWS($H$3:H783),E:F,2,0),"")</f>
        <v/>
      </c>
    </row>
    <row r="784" spans="1:8" x14ac:dyDescent="0.25">
      <c r="A784" s="54">
        <v>5010299009</v>
      </c>
      <c r="B784" s="54">
        <v>50102990</v>
      </c>
      <c r="C784" s="54">
        <f>RIGHT(Table1[[#This Row],[UACS]],2)*1</f>
        <v>9</v>
      </c>
      <c r="D784" s="54">
        <v>50102990</v>
      </c>
      <c r="E784" s="54">
        <f ca="1">IF(ISNUMBER(SEARCH($I$1,F784)),MAX($E$2:E783)+1,0)</f>
        <v>0</v>
      </c>
      <c r="F784" s="56" t="s">
        <v>860</v>
      </c>
      <c r="H784" s="55" t="str">
        <f ca="1">IFERROR(VLOOKUP(ROWS($H$3:H784),E:F,2,0),"")</f>
        <v/>
      </c>
    </row>
    <row r="785" spans="1:8" x14ac:dyDescent="0.25">
      <c r="A785" s="54">
        <v>5010299010</v>
      </c>
      <c r="B785" s="54">
        <v>50102990</v>
      </c>
      <c r="C785" s="54">
        <f>RIGHT(Table1[[#This Row],[UACS]],2)*1</f>
        <v>10</v>
      </c>
      <c r="D785" s="54">
        <v>50102990</v>
      </c>
      <c r="E785" s="54">
        <f ca="1">IF(ISNUMBER(SEARCH($I$1,F785)),MAX($E$2:E784)+1,0)</f>
        <v>0</v>
      </c>
      <c r="F785" s="56" t="s">
        <v>861</v>
      </c>
      <c r="H785" s="55" t="str">
        <f ca="1">IFERROR(VLOOKUP(ROWS($H$3:H785),E:F,2,0),"")</f>
        <v/>
      </c>
    </row>
    <row r="786" spans="1:8" x14ac:dyDescent="0.25">
      <c r="A786" s="54">
        <v>5010299011</v>
      </c>
      <c r="B786" s="54">
        <v>50102990</v>
      </c>
      <c r="C786" s="54">
        <f>RIGHT(Table1[[#This Row],[UACS]],2)*1</f>
        <v>11</v>
      </c>
      <c r="D786" s="54">
        <v>50102990</v>
      </c>
      <c r="E786" s="54">
        <f ca="1">IF(ISNUMBER(SEARCH($I$1,F786)),MAX($E$2:E785)+1,0)</f>
        <v>0</v>
      </c>
      <c r="F786" s="56" t="s">
        <v>862</v>
      </c>
      <c r="H786" s="55" t="str">
        <f ca="1">IFERROR(VLOOKUP(ROWS($H$3:H786),E:F,2,0),"")</f>
        <v/>
      </c>
    </row>
    <row r="787" spans="1:8" x14ac:dyDescent="0.25">
      <c r="A787" s="54">
        <v>5010299012</v>
      </c>
      <c r="B787" s="54">
        <v>50102990</v>
      </c>
      <c r="C787" s="54">
        <f>RIGHT(Table1[[#This Row],[UACS]],2)*1</f>
        <v>12</v>
      </c>
      <c r="D787" s="54">
        <v>50102990</v>
      </c>
      <c r="E787" s="54">
        <f ca="1">IF(ISNUMBER(SEARCH($I$1,F787)),MAX($E$2:E786)+1,0)</f>
        <v>0</v>
      </c>
      <c r="F787" s="56" t="s">
        <v>863</v>
      </c>
      <c r="H787" s="55" t="str">
        <f ca="1">IFERROR(VLOOKUP(ROWS($H$3:H787),E:F,2,0),"")</f>
        <v/>
      </c>
    </row>
    <row r="788" spans="1:8" x14ac:dyDescent="0.25">
      <c r="A788" s="54">
        <v>5010299013</v>
      </c>
      <c r="B788" s="54">
        <v>50102990</v>
      </c>
      <c r="C788" s="54">
        <f>RIGHT(Table1[[#This Row],[UACS]],2)*1</f>
        <v>13</v>
      </c>
      <c r="D788" s="54">
        <v>50102990</v>
      </c>
      <c r="E788" s="54">
        <f ca="1">IF(ISNUMBER(SEARCH($I$1,F788)),MAX($E$2:E787)+1,0)</f>
        <v>0</v>
      </c>
      <c r="F788" s="56" t="s">
        <v>864</v>
      </c>
      <c r="H788" s="55" t="str">
        <f ca="1">IFERROR(VLOOKUP(ROWS($H$3:H788),E:F,2,0),"")</f>
        <v/>
      </c>
    </row>
    <row r="789" spans="1:8" x14ac:dyDescent="0.25">
      <c r="A789" s="54">
        <v>5010299014</v>
      </c>
      <c r="B789" s="54">
        <v>50102990</v>
      </c>
      <c r="C789" s="54">
        <f>RIGHT(Table1[[#This Row],[UACS]],2)*1</f>
        <v>14</v>
      </c>
      <c r="D789" s="54">
        <v>50102990</v>
      </c>
      <c r="E789" s="54">
        <f ca="1">IF(ISNUMBER(SEARCH($I$1,F789)),MAX($E$2:E788)+1,0)</f>
        <v>0</v>
      </c>
      <c r="F789" s="56" t="s">
        <v>865</v>
      </c>
      <c r="H789" s="55" t="str">
        <f ca="1">IFERROR(VLOOKUP(ROWS($H$3:H789),E:F,2,0),"")</f>
        <v/>
      </c>
    </row>
    <row r="790" spans="1:8" x14ac:dyDescent="0.25">
      <c r="A790" s="54">
        <v>5010299015</v>
      </c>
      <c r="B790" s="54">
        <v>50102990</v>
      </c>
      <c r="C790" s="54">
        <f>RIGHT(Table1[[#This Row],[UACS]],2)*1</f>
        <v>15</v>
      </c>
      <c r="D790" s="54">
        <v>50102990</v>
      </c>
      <c r="E790" s="54">
        <f ca="1">IF(ISNUMBER(SEARCH($I$1,F790)),MAX($E$2:E789)+1,0)</f>
        <v>0</v>
      </c>
      <c r="F790" s="56" t="s">
        <v>866</v>
      </c>
      <c r="H790" s="55" t="str">
        <f ca="1">IFERROR(VLOOKUP(ROWS($H$3:H790),E:F,2,0),"")</f>
        <v/>
      </c>
    </row>
    <row r="791" spans="1:8" x14ac:dyDescent="0.25">
      <c r="A791" s="54">
        <v>5010299016</v>
      </c>
      <c r="B791" s="54">
        <v>50102990</v>
      </c>
      <c r="C791" s="54">
        <f>RIGHT(Table1[[#This Row],[UACS]],2)*1</f>
        <v>16</v>
      </c>
      <c r="D791" s="54">
        <v>50102990</v>
      </c>
      <c r="E791" s="54">
        <f ca="1">IF(ISNUMBER(SEARCH($I$1,F791)),MAX($E$2:E790)+1,0)</f>
        <v>0</v>
      </c>
      <c r="F791" s="56" t="s">
        <v>867</v>
      </c>
      <c r="H791" s="55" t="str">
        <f ca="1">IFERROR(VLOOKUP(ROWS($H$3:H791),E:F,2,0),"")</f>
        <v/>
      </c>
    </row>
    <row r="792" spans="1:8" x14ac:dyDescent="0.25">
      <c r="A792" s="54">
        <v>5010299017</v>
      </c>
      <c r="B792" s="54">
        <v>50102990</v>
      </c>
      <c r="C792" s="54">
        <f>RIGHT(Table1[[#This Row],[UACS]],2)*1</f>
        <v>17</v>
      </c>
      <c r="D792" s="54">
        <v>50102990</v>
      </c>
      <c r="E792" s="54">
        <f ca="1">IF(ISNUMBER(SEARCH($I$1,F792)),MAX($E$2:E791)+1,0)</f>
        <v>0</v>
      </c>
      <c r="F792" s="56" t="s">
        <v>868</v>
      </c>
      <c r="H792" s="55" t="str">
        <f ca="1">IFERROR(VLOOKUP(ROWS($H$3:H792),E:F,2,0),"")</f>
        <v/>
      </c>
    </row>
    <row r="793" spans="1:8" x14ac:dyDescent="0.25">
      <c r="A793" s="54">
        <v>5010299018</v>
      </c>
      <c r="B793" s="54">
        <v>50102990</v>
      </c>
      <c r="C793" s="54">
        <f>RIGHT(Table1[[#This Row],[UACS]],2)*1</f>
        <v>18</v>
      </c>
      <c r="D793" s="54">
        <v>50102990</v>
      </c>
      <c r="E793" s="54">
        <f ca="1">IF(ISNUMBER(SEARCH($I$1,F793)),MAX($E$2:E792)+1,0)</f>
        <v>0</v>
      </c>
      <c r="F793" s="56" t="s">
        <v>869</v>
      </c>
      <c r="H793" s="55" t="str">
        <f ca="1">IFERROR(VLOOKUP(ROWS($H$3:H793),E:F,2,0),"")</f>
        <v/>
      </c>
    </row>
    <row r="794" spans="1:8" x14ac:dyDescent="0.25">
      <c r="A794" s="54">
        <v>5010299019</v>
      </c>
      <c r="B794" s="54">
        <v>50102990</v>
      </c>
      <c r="C794" s="54">
        <f>RIGHT(Table1[[#This Row],[UACS]],2)*1</f>
        <v>19</v>
      </c>
      <c r="D794" s="54">
        <v>50102990</v>
      </c>
      <c r="E794" s="54">
        <f ca="1">IF(ISNUMBER(SEARCH($I$1,F794)),MAX($E$2:E793)+1,0)</f>
        <v>0</v>
      </c>
      <c r="F794" s="56" t="s">
        <v>870</v>
      </c>
      <c r="H794" s="55" t="str">
        <f ca="1">IFERROR(VLOOKUP(ROWS($H$3:H794),E:F,2,0),"")</f>
        <v/>
      </c>
    </row>
    <row r="795" spans="1:8" x14ac:dyDescent="0.25">
      <c r="A795" s="54">
        <v>5010299020</v>
      </c>
      <c r="B795" s="54">
        <v>50102990</v>
      </c>
      <c r="C795" s="54">
        <f>RIGHT(Table1[[#This Row],[UACS]],2)*1</f>
        <v>20</v>
      </c>
      <c r="D795" s="54">
        <v>50102990</v>
      </c>
      <c r="E795" s="54">
        <f ca="1">IF(ISNUMBER(SEARCH($I$1,F795)),MAX($E$2:E794)+1,0)</f>
        <v>0</v>
      </c>
      <c r="F795" s="56" t="s">
        <v>871</v>
      </c>
      <c r="H795" s="55" t="str">
        <f ca="1">IFERROR(VLOOKUP(ROWS($H$3:H795),E:F,2,0),"")</f>
        <v/>
      </c>
    </row>
    <row r="796" spans="1:8" x14ac:dyDescent="0.25">
      <c r="A796" s="54">
        <v>5010299021</v>
      </c>
      <c r="B796" s="54">
        <v>50102990</v>
      </c>
      <c r="C796" s="54">
        <f>RIGHT(Table1[[#This Row],[UACS]],2)*1</f>
        <v>21</v>
      </c>
      <c r="D796" s="54">
        <v>50102990</v>
      </c>
      <c r="E796" s="54">
        <f ca="1">IF(ISNUMBER(SEARCH($I$1,F796)),MAX($E$2:E795)+1,0)</f>
        <v>0</v>
      </c>
      <c r="F796" s="56" t="s">
        <v>872</v>
      </c>
      <c r="H796" s="55" t="str">
        <f ca="1">IFERROR(VLOOKUP(ROWS($H$3:H796),E:F,2,0),"")</f>
        <v/>
      </c>
    </row>
    <row r="797" spans="1:8" x14ac:dyDescent="0.25">
      <c r="A797" s="54">
        <v>5010299022</v>
      </c>
      <c r="B797" s="54">
        <v>50102990</v>
      </c>
      <c r="C797" s="54">
        <f>RIGHT(Table1[[#This Row],[UACS]],2)*1</f>
        <v>22</v>
      </c>
      <c r="D797" s="54">
        <v>50102990</v>
      </c>
      <c r="E797" s="54">
        <f ca="1">IF(ISNUMBER(SEARCH($I$1,F797)),MAX($E$2:E796)+1,0)</f>
        <v>0</v>
      </c>
      <c r="F797" s="56" t="s">
        <v>873</v>
      </c>
      <c r="H797" s="55" t="str">
        <f ca="1">IFERROR(VLOOKUP(ROWS($H$3:H797),E:F,2,0),"")</f>
        <v/>
      </c>
    </row>
    <row r="798" spans="1:8" x14ac:dyDescent="0.25">
      <c r="A798" s="54">
        <v>5010299023</v>
      </c>
      <c r="B798" s="54">
        <v>50102990</v>
      </c>
      <c r="C798" s="54">
        <f>RIGHT(Table1[[#This Row],[UACS]],2)*1</f>
        <v>23</v>
      </c>
      <c r="D798" s="54">
        <v>50102990</v>
      </c>
      <c r="E798" s="54">
        <f ca="1">IF(ISNUMBER(SEARCH($I$1,F798)),MAX($E$2:E797)+1,0)</f>
        <v>0</v>
      </c>
      <c r="F798" s="56" t="s">
        <v>874</v>
      </c>
      <c r="H798" s="55" t="str">
        <f ca="1">IFERROR(VLOOKUP(ROWS($H$3:H798),E:F,2,0),"")</f>
        <v/>
      </c>
    </row>
    <row r="799" spans="1:8" x14ac:dyDescent="0.25">
      <c r="A799" s="54">
        <v>5010299024</v>
      </c>
      <c r="B799" s="54">
        <v>50102990</v>
      </c>
      <c r="C799" s="54">
        <f>RIGHT(Table1[[#This Row],[UACS]],2)*1</f>
        <v>24</v>
      </c>
      <c r="D799" s="54">
        <v>50102990</v>
      </c>
      <c r="E799" s="54">
        <f ca="1">IF(ISNUMBER(SEARCH($I$1,F799)),MAX($E$2:E798)+1,0)</f>
        <v>0</v>
      </c>
      <c r="F799" s="56" t="s">
        <v>875</v>
      </c>
      <c r="H799" s="55" t="str">
        <f ca="1">IFERROR(VLOOKUP(ROWS($H$3:H799),E:F,2,0),"")</f>
        <v/>
      </c>
    </row>
    <row r="800" spans="1:8" x14ac:dyDescent="0.25">
      <c r="A800" s="54">
        <v>5010299025</v>
      </c>
      <c r="B800" s="54">
        <v>50102990</v>
      </c>
      <c r="C800" s="54">
        <f>RIGHT(Table1[[#This Row],[UACS]],2)*1</f>
        <v>25</v>
      </c>
      <c r="D800" s="54">
        <v>50102990</v>
      </c>
      <c r="E800" s="54">
        <f ca="1">IF(ISNUMBER(SEARCH($I$1,F800)),MAX($E$2:E799)+1,0)</f>
        <v>0</v>
      </c>
      <c r="F800" s="56" t="s">
        <v>876</v>
      </c>
      <c r="H800" s="55" t="str">
        <f ca="1">IFERROR(VLOOKUP(ROWS($H$3:H800),E:F,2,0),"")</f>
        <v/>
      </c>
    </row>
    <row r="801" spans="1:8" x14ac:dyDescent="0.25">
      <c r="A801" s="54">
        <v>5010299026</v>
      </c>
      <c r="B801" s="54">
        <v>50102990</v>
      </c>
      <c r="C801" s="54">
        <f>RIGHT(Table1[[#This Row],[UACS]],2)*1</f>
        <v>26</v>
      </c>
      <c r="D801" s="54">
        <v>50102990</v>
      </c>
      <c r="E801" s="54">
        <f ca="1">IF(ISNUMBER(SEARCH($I$1,F801)),MAX($E$2:E800)+1,0)</f>
        <v>0</v>
      </c>
      <c r="F801" s="56" t="s">
        <v>877</v>
      </c>
      <c r="H801" s="55" t="str">
        <f ca="1">IFERROR(VLOOKUP(ROWS($H$3:H801),E:F,2,0),"")</f>
        <v/>
      </c>
    </row>
    <row r="802" spans="1:8" x14ac:dyDescent="0.25">
      <c r="A802" s="54">
        <v>5010299027</v>
      </c>
      <c r="B802" s="54">
        <v>50102990</v>
      </c>
      <c r="C802" s="54">
        <f>RIGHT(Table1[[#This Row],[UACS]],2)*1</f>
        <v>27</v>
      </c>
      <c r="D802" s="54">
        <v>50102990</v>
      </c>
      <c r="E802" s="54">
        <f ca="1">IF(ISNUMBER(SEARCH($I$1,F802)),MAX($E$2:E801)+1,0)</f>
        <v>0</v>
      </c>
      <c r="F802" s="56" t="s">
        <v>878</v>
      </c>
      <c r="H802" s="55" t="str">
        <f ca="1">IFERROR(VLOOKUP(ROWS($H$3:H802),E:F,2,0),"")</f>
        <v/>
      </c>
    </row>
    <row r="803" spans="1:8" x14ac:dyDescent="0.25">
      <c r="A803" s="54">
        <v>5010299028</v>
      </c>
      <c r="B803" s="54">
        <v>50102990</v>
      </c>
      <c r="C803" s="54">
        <f>RIGHT(Table1[[#This Row],[UACS]],2)*1</f>
        <v>28</v>
      </c>
      <c r="D803" s="54">
        <v>50102990</v>
      </c>
      <c r="E803" s="54">
        <f ca="1">IF(ISNUMBER(SEARCH($I$1,F803)),MAX($E$2:E802)+1,0)</f>
        <v>0</v>
      </c>
      <c r="F803" s="56" t="s">
        <v>879</v>
      </c>
      <c r="H803" s="55" t="str">
        <f ca="1">IFERROR(VLOOKUP(ROWS($H$3:H803),E:F,2,0),"")</f>
        <v/>
      </c>
    </row>
    <row r="804" spans="1:8" x14ac:dyDescent="0.25">
      <c r="A804" s="54">
        <v>5010299029</v>
      </c>
      <c r="B804" s="54">
        <v>50102990</v>
      </c>
      <c r="C804" s="54">
        <f>RIGHT(Table1[[#This Row],[UACS]],2)*1</f>
        <v>29</v>
      </c>
      <c r="D804" s="54">
        <v>50102990</v>
      </c>
      <c r="E804" s="54">
        <f ca="1">IF(ISNUMBER(SEARCH($I$1,F804)),MAX($E$2:E803)+1,0)</f>
        <v>0</v>
      </c>
      <c r="F804" s="56" t="s">
        <v>880</v>
      </c>
      <c r="H804" s="55" t="str">
        <f ca="1">IFERROR(VLOOKUP(ROWS($H$3:H804),E:F,2,0),"")</f>
        <v/>
      </c>
    </row>
    <row r="805" spans="1:8" x14ac:dyDescent="0.25">
      <c r="A805" s="54">
        <v>5010299030</v>
      </c>
      <c r="B805" s="54">
        <v>50102990</v>
      </c>
      <c r="C805" s="54">
        <f>RIGHT(Table1[[#This Row],[UACS]],2)*1</f>
        <v>30</v>
      </c>
      <c r="D805" s="54">
        <v>50102990</v>
      </c>
      <c r="E805" s="54">
        <f ca="1">IF(ISNUMBER(SEARCH($I$1,F805)),MAX($E$2:E804)+1,0)</f>
        <v>0</v>
      </c>
      <c r="F805" s="56" t="s">
        <v>881</v>
      </c>
      <c r="H805" s="55" t="str">
        <f ca="1">IFERROR(VLOOKUP(ROWS($H$3:H805),E:F,2,0),"")</f>
        <v/>
      </c>
    </row>
    <row r="806" spans="1:8" x14ac:dyDescent="0.25">
      <c r="A806" s="54">
        <v>5010299031</v>
      </c>
      <c r="B806" s="54">
        <v>50102990</v>
      </c>
      <c r="C806" s="54">
        <f>RIGHT(Table1[[#This Row],[UACS]],2)*1</f>
        <v>31</v>
      </c>
      <c r="D806" s="54">
        <v>50102990</v>
      </c>
      <c r="E806" s="54">
        <f ca="1">IF(ISNUMBER(SEARCH($I$1,F806)),MAX($E$2:E805)+1,0)</f>
        <v>0</v>
      </c>
      <c r="F806" s="56" t="s">
        <v>882</v>
      </c>
      <c r="H806" s="55" t="str">
        <f ca="1">IFERROR(VLOOKUP(ROWS($H$3:H806),E:F,2,0),"")</f>
        <v/>
      </c>
    </row>
    <row r="807" spans="1:8" x14ac:dyDescent="0.25">
      <c r="A807" s="54">
        <v>5010299032</v>
      </c>
      <c r="B807" s="54">
        <v>50102990</v>
      </c>
      <c r="C807" s="54">
        <f>RIGHT(Table1[[#This Row],[UACS]],2)*1</f>
        <v>32</v>
      </c>
      <c r="D807" s="54">
        <v>50102990</v>
      </c>
      <c r="E807" s="54">
        <f ca="1">IF(ISNUMBER(SEARCH($I$1,F807)),MAX($E$2:E806)+1,0)</f>
        <v>0</v>
      </c>
      <c r="F807" s="56" t="s">
        <v>883</v>
      </c>
      <c r="H807" s="55" t="str">
        <f ca="1">IFERROR(VLOOKUP(ROWS($H$3:H807),E:F,2,0),"")</f>
        <v/>
      </c>
    </row>
    <row r="808" spans="1:8" x14ac:dyDescent="0.25">
      <c r="A808" s="54">
        <v>5010299033</v>
      </c>
      <c r="B808" s="54">
        <v>50102990</v>
      </c>
      <c r="C808" s="54">
        <f>RIGHT(Table1[[#This Row],[UACS]],2)*1</f>
        <v>33</v>
      </c>
      <c r="D808" s="54">
        <v>50102990</v>
      </c>
      <c r="E808" s="54">
        <f ca="1">IF(ISNUMBER(SEARCH($I$1,F808)),MAX($E$2:E807)+1,0)</f>
        <v>0</v>
      </c>
      <c r="F808" s="56" t="s">
        <v>884</v>
      </c>
      <c r="H808" s="55" t="str">
        <f ca="1">IFERROR(VLOOKUP(ROWS($H$3:H808),E:F,2,0),"")</f>
        <v/>
      </c>
    </row>
    <row r="809" spans="1:8" x14ac:dyDescent="0.25">
      <c r="A809" s="54">
        <v>5010301000</v>
      </c>
      <c r="B809" s="54">
        <v>50103010</v>
      </c>
      <c r="C809" s="54">
        <f>RIGHT(Table1[[#This Row],[UACS]],2)*1</f>
        <v>0</v>
      </c>
      <c r="D809" s="54">
        <v>50103010</v>
      </c>
      <c r="E809" s="54">
        <f ca="1">IF(ISNUMBER(SEARCH($I$1,F809)),MAX($E$2:E808)+1,0)</f>
        <v>0</v>
      </c>
      <c r="F809" s="56" t="s">
        <v>885</v>
      </c>
      <c r="H809" s="55" t="str">
        <f ca="1">IFERROR(VLOOKUP(ROWS($H$3:H809),E:F,2,0),"")</f>
        <v/>
      </c>
    </row>
    <row r="810" spans="1:8" x14ac:dyDescent="0.25">
      <c r="A810" s="54">
        <v>5010302001</v>
      </c>
      <c r="B810" s="54">
        <v>50103020</v>
      </c>
      <c r="C810" s="54">
        <f>RIGHT(Table1[[#This Row],[UACS]],2)*1</f>
        <v>1</v>
      </c>
      <c r="D810" s="54">
        <v>50103020</v>
      </c>
      <c r="E810" s="54">
        <f ca="1">IF(ISNUMBER(SEARCH($I$1,F810)),MAX($E$2:E809)+1,0)</f>
        <v>0</v>
      </c>
      <c r="F810" s="56" t="s">
        <v>886</v>
      </c>
      <c r="H810" s="55" t="str">
        <f ca="1">IFERROR(VLOOKUP(ROWS($H$3:H810),E:F,2,0),"")</f>
        <v/>
      </c>
    </row>
    <row r="811" spans="1:8" x14ac:dyDescent="0.25">
      <c r="A811" s="54">
        <v>5010302002</v>
      </c>
      <c r="B811" s="54">
        <v>50103020</v>
      </c>
      <c r="C811" s="54">
        <f>RIGHT(Table1[[#This Row],[UACS]],2)*1</f>
        <v>2</v>
      </c>
      <c r="D811" s="54">
        <v>50103020</v>
      </c>
      <c r="E811" s="54">
        <f ca="1">IF(ISNUMBER(SEARCH($I$1,F811)),MAX($E$2:E810)+1,0)</f>
        <v>0</v>
      </c>
      <c r="F811" s="56" t="s">
        <v>887</v>
      </c>
      <c r="H811" s="55" t="str">
        <f ca="1">IFERROR(VLOOKUP(ROWS($H$3:H811),E:F,2,0),"")</f>
        <v/>
      </c>
    </row>
    <row r="812" spans="1:8" x14ac:dyDescent="0.25">
      <c r="A812" s="54">
        <v>5010303001</v>
      </c>
      <c r="B812" s="54">
        <v>50103030</v>
      </c>
      <c r="C812" s="54">
        <f>RIGHT(Table1[[#This Row],[UACS]],2)*1</f>
        <v>1</v>
      </c>
      <c r="D812" s="54">
        <v>50103030</v>
      </c>
      <c r="E812" s="54">
        <f ca="1">IF(ISNUMBER(SEARCH($I$1,F812)),MAX($E$2:E811)+1,0)</f>
        <v>0</v>
      </c>
      <c r="F812" s="56" t="s">
        <v>888</v>
      </c>
      <c r="H812" s="55" t="str">
        <f ca="1">IFERROR(VLOOKUP(ROWS($H$3:H812),E:F,2,0),"")</f>
        <v/>
      </c>
    </row>
    <row r="813" spans="1:8" x14ac:dyDescent="0.25">
      <c r="A813" s="54">
        <v>5010303002</v>
      </c>
      <c r="B813" s="54">
        <v>50103030</v>
      </c>
      <c r="C813" s="54">
        <f>RIGHT(Table1[[#This Row],[UACS]],2)*1</f>
        <v>2</v>
      </c>
      <c r="D813" s="54">
        <v>50103030</v>
      </c>
      <c r="E813" s="54">
        <f ca="1">IF(ISNUMBER(SEARCH($I$1,F813)),MAX($E$2:E812)+1,0)</f>
        <v>0</v>
      </c>
      <c r="F813" s="56" t="s">
        <v>889</v>
      </c>
      <c r="H813" s="55" t="str">
        <f ca="1">IFERROR(VLOOKUP(ROWS($H$3:H813),E:F,2,0),"")</f>
        <v/>
      </c>
    </row>
    <row r="814" spans="1:8" x14ac:dyDescent="0.25">
      <c r="A814" s="54">
        <v>5010304001</v>
      </c>
      <c r="B814" s="54">
        <v>50103040</v>
      </c>
      <c r="C814" s="54">
        <f>RIGHT(Table1[[#This Row],[UACS]],2)*1</f>
        <v>1</v>
      </c>
      <c r="D814" s="54">
        <v>50103040</v>
      </c>
      <c r="E814" s="54">
        <f ca="1">IF(ISNUMBER(SEARCH($I$1,F814)),MAX($E$2:E813)+1,0)</f>
        <v>0</v>
      </c>
      <c r="F814" s="56" t="s">
        <v>890</v>
      </c>
      <c r="H814" s="55" t="str">
        <f ca="1">IFERROR(VLOOKUP(ROWS($H$3:H814),E:F,2,0),"")</f>
        <v/>
      </c>
    </row>
    <row r="815" spans="1:8" x14ac:dyDescent="0.25">
      <c r="A815" s="54">
        <v>5010304002</v>
      </c>
      <c r="B815" s="54">
        <v>50103040</v>
      </c>
      <c r="C815" s="54">
        <f>RIGHT(Table1[[#This Row],[UACS]],2)*1</f>
        <v>2</v>
      </c>
      <c r="D815" s="54">
        <v>50103040</v>
      </c>
      <c r="E815" s="54">
        <f ca="1">IF(ISNUMBER(SEARCH($I$1,F815)),MAX($E$2:E814)+1,0)</f>
        <v>0</v>
      </c>
      <c r="F815" s="56" t="s">
        <v>891</v>
      </c>
      <c r="H815" s="55" t="str">
        <f ca="1">IFERROR(VLOOKUP(ROWS($H$3:H815),E:F,2,0),"")</f>
        <v/>
      </c>
    </row>
    <row r="816" spans="1:8" x14ac:dyDescent="0.25">
      <c r="A816" s="54">
        <v>5010305000</v>
      </c>
      <c r="B816" s="54">
        <v>50103050</v>
      </c>
      <c r="C816" s="54">
        <f>RIGHT(Table1[[#This Row],[UACS]],2)*1</f>
        <v>0</v>
      </c>
      <c r="D816" s="54">
        <v>50103050</v>
      </c>
      <c r="E816" s="54">
        <f ca="1">IF(ISNUMBER(SEARCH($I$1,F816)),MAX($E$2:E815)+1,0)</f>
        <v>0</v>
      </c>
      <c r="F816" s="56" t="s">
        <v>892</v>
      </c>
      <c r="H816" s="55" t="str">
        <f ca="1">IFERROR(VLOOKUP(ROWS($H$3:H816),E:F,2,0),"")</f>
        <v/>
      </c>
    </row>
    <row r="817" spans="1:8" x14ac:dyDescent="0.25">
      <c r="A817" s="54">
        <v>5010401001</v>
      </c>
      <c r="B817" s="54">
        <v>50104010</v>
      </c>
      <c r="C817" s="54">
        <f>RIGHT(Table1[[#This Row],[UACS]],2)*1</f>
        <v>1</v>
      </c>
      <c r="D817" s="54">
        <v>50104010</v>
      </c>
      <c r="E817" s="54">
        <f ca="1">IF(ISNUMBER(SEARCH($I$1,F817)),MAX($E$2:E816)+1,0)</f>
        <v>0</v>
      </c>
      <c r="F817" s="56" t="s">
        <v>893</v>
      </c>
      <c r="H817" s="55" t="str">
        <f ca="1">IFERROR(VLOOKUP(ROWS($H$3:H817),E:F,2,0),"")</f>
        <v/>
      </c>
    </row>
    <row r="818" spans="1:8" x14ac:dyDescent="0.25">
      <c r="A818" s="54">
        <v>5010401002</v>
      </c>
      <c r="B818" s="54">
        <v>50104010</v>
      </c>
      <c r="C818" s="54">
        <f>RIGHT(Table1[[#This Row],[UACS]],2)*1</f>
        <v>2</v>
      </c>
      <c r="D818" s="54">
        <v>50104010</v>
      </c>
      <c r="E818" s="54">
        <f ca="1">IF(ISNUMBER(SEARCH($I$1,F818)),MAX($E$2:E817)+1,0)</f>
        <v>0</v>
      </c>
      <c r="F818" s="56" t="s">
        <v>894</v>
      </c>
      <c r="H818" s="55" t="str">
        <f ca="1">IFERROR(VLOOKUP(ROWS($H$3:H818),E:F,2,0),"")</f>
        <v/>
      </c>
    </row>
    <row r="819" spans="1:8" x14ac:dyDescent="0.25">
      <c r="A819" s="54">
        <v>5010401003</v>
      </c>
      <c r="B819" s="54">
        <v>50104010</v>
      </c>
      <c r="C819" s="54">
        <f>RIGHT(Table1[[#This Row],[UACS]],2)*1</f>
        <v>3</v>
      </c>
      <c r="D819" s="54">
        <v>50104010</v>
      </c>
      <c r="E819" s="54">
        <f ca="1">IF(ISNUMBER(SEARCH($I$1,F819)),MAX($E$2:E818)+1,0)</f>
        <v>0</v>
      </c>
      <c r="F819" s="56" t="s">
        <v>895</v>
      </c>
      <c r="H819" s="55" t="str">
        <f ca="1">IFERROR(VLOOKUP(ROWS($H$3:H819),E:F,2,0),"")</f>
        <v/>
      </c>
    </row>
    <row r="820" spans="1:8" x14ac:dyDescent="0.25">
      <c r="A820" s="54">
        <v>5010402001</v>
      </c>
      <c r="B820" s="54">
        <v>50104020</v>
      </c>
      <c r="C820" s="54">
        <f>RIGHT(Table1[[#This Row],[UACS]],2)*1</f>
        <v>1</v>
      </c>
      <c r="D820" s="54">
        <v>50104020</v>
      </c>
      <c r="E820" s="54">
        <f ca="1">IF(ISNUMBER(SEARCH($I$1,F820)),MAX($E$2:E819)+1,0)</f>
        <v>0</v>
      </c>
      <c r="F820" s="56" t="s">
        <v>896</v>
      </c>
      <c r="H820" s="55" t="str">
        <f ca="1">IFERROR(VLOOKUP(ROWS($H$3:H820),E:F,2,0),"")</f>
        <v/>
      </c>
    </row>
    <row r="821" spans="1:8" x14ac:dyDescent="0.25">
      <c r="A821" s="54">
        <v>5010402002</v>
      </c>
      <c r="B821" s="54">
        <v>50104020</v>
      </c>
      <c r="C821" s="54">
        <f>RIGHT(Table1[[#This Row],[UACS]],2)*1</f>
        <v>2</v>
      </c>
      <c r="D821" s="54">
        <v>50104020</v>
      </c>
      <c r="E821" s="54">
        <f ca="1">IF(ISNUMBER(SEARCH($I$1,F821)),MAX($E$2:E820)+1,0)</f>
        <v>0</v>
      </c>
      <c r="F821" s="56" t="s">
        <v>897</v>
      </c>
      <c r="H821" s="55" t="str">
        <f ca="1">IFERROR(VLOOKUP(ROWS($H$3:H821),E:F,2,0),"")</f>
        <v/>
      </c>
    </row>
    <row r="822" spans="1:8" x14ac:dyDescent="0.25">
      <c r="A822" s="54">
        <v>5010403001</v>
      </c>
      <c r="B822" s="54">
        <v>50104030</v>
      </c>
      <c r="C822" s="54">
        <f>RIGHT(Table1[[#This Row],[UACS]],2)*1</f>
        <v>1</v>
      </c>
      <c r="D822" s="54">
        <v>50104030</v>
      </c>
      <c r="E822" s="54">
        <f ca="1">IF(ISNUMBER(SEARCH($I$1,F822)),MAX($E$2:E821)+1,0)</f>
        <v>0</v>
      </c>
      <c r="F822" s="56" t="s">
        <v>898</v>
      </c>
      <c r="H822" s="55" t="str">
        <f ca="1">IFERROR(VLOOKUP(ROWS($H$3:H822),E:F,2,0),"")</f>
        <v/>
      </c>
    </row>
    <row r="823" spans="1:8" x14ac:dyDescent="0.25">
      <c r="A823" s="54">
        <v>5010403002</v>
      </c>
      <c r="B823" s="54">
        <v>50104030</v>
      </c>
      <c r="C823" s="54">
        <f>RIGHT(Table1[[#This Row],[UACS]],2)*1</f>
        <v>2</v>
      </c>
      <c r="D823" s="54">
        <v>50104030</v>
      </c>
      <c r="E823" s="54">
        <f ca="1">IF(ISNUMBER(SEARCH($I$1,F823)),MAX($E$2:E822)+1,0)</f>
        <v>0</v>
      </c>
      <c r="F823" s="56" t="s">
        <v>899</v>
      </c>
      <c r="H823" s="55" t="str">
        <f ca="1">IFERROR(VLOOKUP(ROWS($H$3:H823),E:F,2,0),"")</f>
        <v/>
      </c>
    </row>
    <row r="824" spans="1:8" x14ac:dyDescent="0.25">
      <c r="A824" s="54">
        <v>5010499001</v>
      </c>
      <c r="B824" s="54">
        <v>50104990</v>
      </c>
      <c r="C824" s="54">
        <f>RIGHT(Table1[[#This Row],[UACS]],2)*1</f>
        <v>1</v>
      </c>
      <c r="D824" s="54">
        <v>50104990</v>
      </c>
      <c r="E824" s="54">
        <f ca="1">IF(ISNUMBER(SEARCH($I$1,F824)),MAX($E$2:E823)+1,0)</f>
        <v>0</v>
      </c>
      <c r="F824" s="56" t="s">
        <v>900</v>
      </c>
      <c r="H824" s="55" t="str">
        <f ca="1">IFERROR(VLOOKUP(ROWS($H$3:H824),E:F,2,0),"")</f>
        <v/>
      </c>
    </row>
    <row r="825" spans="1:8" x14ac:dyDescent="0.25">
      <c r="A825" s="54">
        <v>5010499002</v>
      </c>
      <c r="B825" s="54">
        <v>50104990</v>
      </c>
      <c r="C825" s="54">
        <f>RIGHT(Table1[[#This Row],[UACS]],2)*1</f>
        <v>2</v>
      </c>
      <c r="D825" s="54">
        <v>50104990</v>
      </c>
      <c r="E825" s="54">
        <f ca="1">IF(ISNUMBER(SEARCH($I$1,F825)),MAX($E$2:E824)+1,0)</f>
        <v>0</v>
      </c>
      <c r="F825" s="56" t="s">
        <v>901</v>
      </c>
      <c r="H825" s="55" t="str">
        <f ca="1">IFERROR(VLOOKUP(ROWS($H$3:H825),E:F,2,0),"")</f>
        <v/>
      </c>
    </row>
    <row r="826" spans="1:8" x14ac:dyDescent="0.25">
      <c r="A826" s="54">
        <v>5010499003</v>
      </c>
      <c r="B826" s="54">
        <v>50104990</v>
      </c>
      <c r="C826" s="54">
        <f>RIGHT(Table1[[#This Row],[UACS]],2)*1</f>
        <v>3</v>
      </c>
      <c r="D826" s="54">
        <v>50104990</v>
      </c>
      <c r="E826" s="54">
        <f ca="1">IF(ISNUMBER(SEARCH($I$1,F826)),MAX($E$2:E825)+1,0)</f>
        <v>0</v>
      </c>
      <c r="F826" s="56" t="s">
        <v>902</v>
      </c>
      <c r="H826" s="55" t="str">
        <f ca="1">IFERROR(VLOOKUP(ROWS($H$3:H826),E:F,2,0),"")</f>
        <v/>
      </c>
    </row>
    <row r="827" spans="1:8" x14ac:dyDescent="0.25">
      <c r="A827" s="54">
        <v>5010499004</v>
      </c>
      <c r="B827" s="54">
        <v>50104990</v>
      </c>
      <c r="C827" s="54">
        <f>RIGHT(Table1[[#This Row],[UACS]],2)*1</f>
        <v>4</v>
      </c>
      <c r="D827" s="54">
        <v>50104990</v>
      </c>
      <c r="E827" s="54">
        <f ca="1">IF(ISNUMBER(SEARCH($I$1,F827)),MAX($E$2:E826)+1,0)</f>
        <v>0</v>
      </c>
      <c r="F827" s="56" t="s">
        <v>903</v>
      </c>
      <c r="H827" s="55" t="str">
        <f ca="1">IFERROR(VLOOKUP(ROWS($H$3:H827),E:F,2,0),"")</f>
        <v/>
      </c>
    </row>
    <row r="828" spans="1:8" x14ac:dyDescent="0.25">
      <c r="A828" s="54">
        <v>5010499005</v>
      </c>
      <c r="B828" s="54">
        <v>50104990</v>
      </c>
      <c r="C828" s="54">
        <f>RIGHT(Table1[[#This Row],[UACS]],2)*1</f>
        <v>5</v>
      </c>
      <c r="D828" s="54">
        <v>50104990</v>
      </c>
      <c r="E828" s="54">
        <f ca="1">IF(ISNUMBER(SEARCH($I$1,F828)),MAX($E$2:E827)+1,0)</f>
        <v>0</v>
      </c>
      <c r="F828" s="56" t="s">
        <v>904</v>
      </c>
      <c r="H828" s="55" t="str">
        <f ca="1">IFERROR(VLOOKUP(ROWS($H$3:H828),E:F,2,0),"")</f>
        <v/>
      </c>
    </row>
    <row r="829" spans="1:8" x14ac:dyDescent="0.25">
      <c r="A829" s="54">
        <v>5010499006</v>
      </c>
      <c r="B829" s="54">
        <v>50104990</v>
      </c>
      <c r="C829" s="54">
        <f>RIGHT(Table1[[#This Row],[UACS]],2)*1</f>
        <v>6</v>
      </c>
      <c r="D829" s="54">
        <v>50104990</v>
      </c>
      <c r="E829" s="54">
        <f ca="1">IF(ISNUMBER(SEARCH($I$1,F829)),MAX($E$2:E828)+1,0)</f>
        <v>0</v>
      </c>
      <c r="F829" s="56" t="s">
        <v>905</v>
      </c>
      <c r="H829" s="55" t="str">
        <f ca="1">IFERROR(VLOOKUP(ROWS($H$3:H829),E:F,2,0),"")</f>
        <v/>
      </c>
    </row>
    <row r="830" spans="1:8" x14ac:dyDescent="0.25">
      <c r="A830" s="54">
        <v>5010499007</v>
      </c>
      <c r="B830" s="54">
        <v>50104990</v>
      </c>
      <c r="C830" s="54">
        <f>RIGHT(Table1[[#This Row],[UACS]],2)*1</f>
        <v>7</v>
      </c>
      <c r="D830" s="54">
        <v>50104990</v>
      </c>
      <c r="E830" s="54">
        <f ca="1">IF(ISNUMBER(SEARCH($I$1,F830)),MAX($E$2:E829)+1,0)</f>
        <v>0</v>
      </c>
      <c r="F830" s="56" t="s">
        <v>906</v>
      </c>
      <c r="H830" s="55" t="str">
        <f ca="1">IFERROR(VLOOKUP(ROWS($H$3:H830),E:F,2,0),"")</f>
        <v/>
      </c>
    </row>
    <row r="831" spans="1:8" x14ac:dyDescent="0.25">
      <c r="A831" s="54">
        <v>5010499008</v>
      </c>
      <c r="B831" s="54">
        <v>50104990</v>
      </c>
      <c r="C831" s="54">
        <f>RIGHT(Table1[[#This Row],[UACS]],2)*1</f>
        <v>8</v>
      </c>
      <c r="D831" s="54">
        <v>50104990</v>
      </c>
      <c r="E831" s="54">
        <f ca="1">IF(ISNUMBER(SEARCH($I$1,F831)),MAX($E$2:E830)+1,0)</f>
        <v>13</v>
      </c>
      <c r="F831" s="56" t="s">
        <v>907</v>
      </c>
      <c r="H831" s="55" t="str">
        <f ca="1">IFERROR(VLOOKUP(ROWS($H$3:H831),E:F,2,0),"")</f>
        <v/>
      </c>
    </row>
    <row r="832" spans="1:8" x14ac:dyDescent="0.25">
      <c r="A832" s="54">
        <v>5010499009</v>
      </c>
      <c r="B832" s="54">
        <v>50104990</v>
      </c>
      <c r="C832" s="54">
        <f>RIGHT(Table1[[#This Row],[UACS]],2)*1</f>
        <v>9</v>
      </c>
      <c r="D832" s="54">
        <v>50104990</v>
      </c>
      <c r="E832" s="54">
        <f ca="1">IF(ISNUMBER(SEARCH($I$1,F832)),MAX($E$2:E831)+1,0)</f>
        <v>0</v>
      </c>
      <c r="F832" s="56" t="s">
        <v>908</v>
      </c>
      <c r="H832" s="55" t="str">
        <f ca="1">IFERROR(VLOOKUP(ROWS($H$3:H832),E:F,2,0),"")</f>
        <v/>
      </c>
    </row>
    <row r="833" spans="1:8" x14ac:dyDescent="0.25">
      <c r="A833" s="54">
        <v>5010499010</v>
      </c>
      <c r="B833" s="54">
        <v>50104990</v>
      </c>
      <c r="C833" s="54">
        <f>RIGHT(Table1[[#This Row],[UACS]],2)*1</f>
        <v>10</v>
      </c>
      <c r="D833" s="54">
        <v>50104990</v>
      </c>
      <c r="E833" s="54">
        <f ca="1">IF(ISNUMBER(SEARCH($I$1,F833)),MAX($E$2:E832)+1,0)</f>
        <v>0</v>
      </c>
      <c r="F833" s="56" t="s">
        <v>909</v>
      </c>
      <c r="H833" s="55" t="str">
        <f ca="1">IFERROR(VLOOKUP(ROWS($H$3:H833),E:F,2,0),"")</f>
        <v/>
      </c>
    </row>
    <row r="834" spans="1:8" x14ac:dyDescent="0.25">
      <c r="A834" s="54">
        <v>5010499011</v>
      </c>
      <c r="B834" s="54">
        <v>50104990</v>
      </c>
      <c r="C834" s="54">
        <f>RIGHT(Table1[[#This Row],[UACS]],2)*1</f>
        <v>11</v>
      </c>
      <c r="D834" s="54">
        <v>50104990</v>
      </c>
      <c r="E834" s="54">
        <f ca="1">IF(ISNUMBER(SEARCH($I$1,F834)),MAX($E$2:E833)+1,0)</f>
        <v>0</v>
      </c>
      <c r="F834" s="56" t="s">
        <v>910</v>
      </c>
      <c r="H834" s="55" t="str">
        <f ca="1">IFERROR(VLOOKUP(ROWS($H$3:H834),E:F,2,0),"")</f>
        <v/>
      </c>
    </row>
    <row r="835" spans="1:8" x14ac:dyDescent="0.25">
      <c r="A835" s="54">
        <v>5010499012</v>
      </c>
      <c r="B835" s="54">
        <v>50104990</v>
      </c>
      <c r="C835" s="54">
        <f>RIGHT(Table1[[#This Row],[UACS]],2)*1</f>
        <v>12</v>
      </c>
      <c r="D835" s="54">
        <v>50104990</v>
      </c>
      <c r="E835" s="54">
        <f ca="1">IF(ISNUMBER(SEARCH($I$1,F835)),MAX($E$2:E834)+1,0)</f>
        <v>0</v>
      </c>
      <c r="F835" s="56" t="s">
        <v>911</v>
      </c>
      <c r="H835" s="55" t="str">
        <f ca="1">IFERROR(VLOOKUP(ROWS($H$3:H835),E:F,2,0),"")</f>
        <v/>
      </c>
    </row>
    <row r="836" spans="1:8" x14ac:dyDescent="0.25">
      <c r="A836" s="54">
        <v>5010499013</v>
      </c>
      <c r="B836" s="54">
        <v>50104990</v>
      </c>
      <c r="C836" s="54">
        <f>RIGHT(Table1[[#This Row],[UACS]],2)*1</f>
        <v>13</v>
      </c>
      <c r="D836" s="54">
        <v>50104990</v>
      </c>
      <c r="E836" s="54">
        <f ca="1">IF(ISNUMBER(SEARCH($I$1,F836)),MAX($E$2:E835)+1,0)</f>
        <v>0</v>
      </c>
      <c r="F836" s="56" t="s">
        <v>912</v>
      </c>
      <c r="H836" s="55" t="str">
        <f ca="1">IFERROR(VLOOKUP(ROWS($H$3:H836),E:F,2,0),"")</f>
        <v/>
      </c>
    </row>
    <row r="837" spans="1:8" x14ac:dyDescent="0.25">
      <c r="A837" s="54">
        <v>5010499099</v>
      </c>
      <c r="B837" s="54">
        <v>50104990</v>
      </c>
      <c r="C837" s="54">
        <f>RIGHT(Table1[[#This Row],[UACS]],2)*1</f>
        <v>99</v>
      </c>
      <c r="D837" s="54">
        <v>50104990</v>
      </c>
      <c r="E837" s="54">
        <f ca="1">IF(ISNUMBER(SEARCH($I$1,F837)),MAX($E$2:E836)+1,0)</f>
        <v>0</v>
      </c>
      <c r="F837" s="56" t="s">
        <v>913</v>
      </c>
      <c r="H837" s="55" t="str">
        <f ca="1">IFERROR(VLOOKUP(ROWS($H$3:H837),E:F,2,0),"")</f>
        <v/>
      </c>
    </row>
    <row r="838" spans="1:8" x14ac:dyDescent="0.25">
      <c r="A838" s="54">
        <v>5020101000</v>
      </c>
      <c r="B838" s="54">
        <v>50201010</v>
      </c>
      <c r="C838" s="54">
        <f>RIGHT(Table1[[#This Row],[UACS]],2)*1</f>
        <v>0</v>
      </c>
      <c r="D838" s="54">
        <v>50201010</v>
      </c>
      <c r="E838" s="54">
        <f ca="1">IF(ISNUMBER(SEARCH($I$1,F838)),MAX($E$2:E837)+1,0)</f>
        <v>0</v>
      </c>
      <c r="F838" s="56" t="s">
        <v>914</v>
      </c>
      <c r="H838" s="55" t="str">
        <f ca="1">IFERROR(VLOOKUP(ROWS($H$3:H838),E:F,2,0),"")</f>
        <v/>
      </c>
    </row>
    <row r="839" spans="1:8" x14ac:dyDescent="0.25">
      <c r="A839" s="54">
        <v>5020102000</v>
      </c>
      <c r="B839" s="54">
        <v>50201020</v>
      </c>
      <c r="C839" s="54">
        <f>RIGHT(Table1[[#This Row],[UACS]],2)*1</f>
        <v>0</v>
      </c>
      <c r="D839" s="54">
        <v>50201020</v>
      </c>
      <c r="E839" s="54">
        <f ca="1">IF(ISNUMBER(SEARCH($I$1,F839)),MAX($E$2:E838)+1,0)</f>
        <v>0</v>
      </c>
      <c r="F839" s="56" t="s">
        <v>915</v>
      </c>
      <c r="H839" s="55" t="str">
        <f ca="1">IFERROR(VLOOKUP(ROWS($H$3:H839),E:F,2,0),"")</f>
        <v/>
      </c>
    </row>
    <row r="840" spans="1:8" x14ac:dyDescent="0.25">
      <c r="A840" s="54">
        <v>5020201000</v>
      </c>
      <c r="B840" s="54">
        <v>50202010</v>
      </c>
      <c r="C840" s="54">
        <f>RIGHT(Table1[[#This Row],[UACS]],2)*1</f>
        <v>0</v>
      </c>
      <c r="D840" s="54">
        <v>50202010</v>
      </c>
      <c r="E840" s="54">
        <f ca="1">IF(ISNUMBER(SEARCH($I$1,F840)),MAX($E$2:E839)+1,0)</f>
        <v>0</v>
      </c>
      <c r="F840" s="56" t="s">
        <v>916</v>
      </c>
      <c r="H840" s="55" t="str">
        <f ca="1">IFERROR(VLOOKUP(ROWS($H$3:H840),E:F,2,0),"")</f>
        <v/>
      </c>
    </row>
    <row r="841" spans="1:8" x14ac:dyDescent="0.25">
      <c r="A841" s="54">
        <v>5020202000</v>
      </c>
      <c r="B841" s="54">
        <v>50202020</v>
      </c>
      <c r="C841" s="54">
        <f>RIGHT(Table1[[#This Row],[UACS]],2)*1</f>
        <v>0</v>
      </c>
      <c r="D841" s="54">
        <v>50202020</v>
      </c>
      <c r="E841" s="54">
        <f ca="1">IF(ISNUMBER(SEARCH($I$1,F841)),MAX($E$2:E840)+1,0)</f>
        <v>0</v>
      </c>
      <c r="F841" s="56" t="s">
        <v>917</v>
      </c>
      <c r="H841" s="55" t="str">
        <f ca="1">IFERROR(VLOOKUP(ROWS($H$3:H841),E:F,2,0),"")</f>
        <v/>
      </c>
    </row>
    <row r="842" spans="1:8" x14ac:dyDescent="0.25">
      <c r="A842" s="54">
        <v>5020301000</v>
      </c>
      <c r="B842" s="54">
        <v>50203010</v>
      </c>
      <c r="C842" s="54">
        <f>RIGHT(Table1[[#This Row],[UACS]],2)*1</f>
        <v>0</v>
      </c>
      <c r="D842" s="54">
        <v>50203010</v>
      </c>
      <c r="E842" s="54">
        <f ca="1">IF(ISNUMBER(SEARCH($I$1,F842)),MAX($E$2:E841)+1,0)</f>
        <v>0</v>
      </c>
      <c r="F842" s="56" t="s">
        <v>918</v>
      </c>
      <c r="H842" s="55" t="str">
        <f ca="1">IFERROR(VLOOKUP(ROWS($H$3:H842),E:F,2,0),"")</f>
        <v/>
      </c>
    </row>
    <row r="843" spans="1:8" x14ac:dyDescent="0.25">
      <c r="A843" s="54">
        <v>5020302000</v>
      </c>
      <c r="B843" s="54">
        <v>50203020</v>
      </c>
      <c r="C843" s="54">
        <f>RIGHT(Table1[[#This Row],[UACS]],2)*1</f>
        <v>0</v>
      </c>
      <c r="D843" s="54">
        <v>50203020</v>
      </c>
      <c r="E843" s="54">
        <f ca="1">IF(ISNUMBER(SEARCH($I$1,F843)),MAX($E$2:E842)+1,0)</f>
        <v>0</v>
      </c>
      <c r="F843" s="56" t="s">
        <v>919</v>
      </c>
      <c r="H843" s="55" t="str">
        <f ca="1">IFERROR(VLOOKUP(ROWS($H$3:H843),E:F,2,0),"")</f>
        <v/>
      </c>
    </row>
    <row r="844" spans="1:8" x14ac:dyDescent="0.25">
      <c r="A844" s="54">
        <v>5020303000</v>
      </c>
      <c r="B844" s="54">
        <v>50203030</v>
      </c>
      <c r="C844" s="54">
        <f>RIGHT(Table1[[#This Row],[UACS]],2)*1</f>
        <v>0</v>
      </c>
      <c r="D844" s="54">
        <v>50203030</v>
      </c>
      <c r="E844" s="54">
        <f ca="1">IF(ISNUMBER(SEARCH($I$1,F844)),MAX($E$2:E843)+1,0)</f>
        <v>0</v>
      </c>
      <c r="F844" s="56" t="s">
        <v>920</v>
      </c>
      <c r="H844" s="55" t="str">
        <f ca="1">IFERROR(VLOOKUP(ROWS($H$3:H844),E:F,2,0),"")</f>
        <v/>
      </c>
    </row>
    <row r="845" spans="1:8" x14ac:dyDescent="0.25">
      <c r="A845" s="54">
        <v>5020304000</v>
      </c>
      <c r="B845" s="54">
        <v>50203040</v>
      </c>
      <c r="C845" s="54">
        <f>RIGHT(Table1[[#This Row],[UACS]],2)*1</f>
        <v>0</v>
      </c>
      <c r="D845" s="54">
        <v>50203040</v>
      </c>
      <c r="E845" s="54">
        <f ca="1">IF(ISNUMBER(SEARCH($I$1,F845)),MAX($E$2:E844)+1,0)</f>
        <v>0</v>
      </c>
      <c r="F845" s="56" t="s">
        <v>921</v>
      </c>
      <c r="H845" s="55" t="str">
        <f ca="1">IFERROR(VLOOKUP(ROWS($H$3:H845),E:F,2,0),"")</f>
        <v/>
      </c>
    </row>
    <row r="846" spans="1:8" x14ac:dyDescent="0.25">
      <c r="A846" s="54">
        <v>5020305000</v>
      </c>
      <c r="B846" s="54">
        <v>50203050</v>
      </c>
      <c r="C846" s="54">
        <f>RIGHT(Table1[[#This Row],[UACS]],2)*1</f>
        <v>0</v>
      </c>
      <c r="D846" s="54">
        <v>50203050</v>
      </c>
      <c r="E846" s="54">
        <f ca="1">IF(ISNUMBER(SEARCH($I$1,F846)),MAX($E$2:E845)+1,0)</f>
        <v>0</v>
      </c>
      <c r="F846" s="56" t="s">
        <v>922</v>
      </c>
      <c r="H846" s="55" t="str">
        <f ca="1">IFERROR(VLOOKUP(ROWS($H$3:H846),E:F,2,0),"")</f>
        <v/>
      </c>
    </row>
    <row r="847" spans="1:8" x14ac:dyDescent="0.25">
      <c r="A847" s="54">
        <v>5020306000</v>
      </c>
      <c r="B847" s="54">
        <v>50203060</v>
      </c>
      <c r="C847" s="54">
        <f>RIGHT(Table1[[#This Row],[UACS]],2)*1</f>
        <v>0</v>
      </c>
      <c r="D847" s="54">
        <v>50203060</v>
      </c>
      <c r="E847" s="54">
        <f ca="1">IF(ISNUMBER(SEARCH($I$1,F847)),MAX($E$2:E846)+1,0)</f>
        <v>0</v>
      </c>
      <c r="F847" s="56" t="s">
        <v>923</v>
      </c>
      <c r="H847" s="55" t="str">
        <f ca="1">IFERROR(VLOOKUP(ROWS($H$3:H847),E:F,2,0),"")</f>
        <v/>
      </c>
    </row>
    <row r="848" spans="1:8" x14ac:dyDescent="0.25">
      <c r="A848" s="54">
        <v>5020307000</v>
      </c>
      <c r="B848" s="54">
        <v>50203070</v>
      </c>
      <c r="C848" s="54">
        <f>RIGHT(Table1[[#This Row],[UACS]],2)*1</f>
        <v>0</v>
      </c>
      <c r="D848" s="54">
        <v>50203070</v>
      </c>
      <c r="E848" s="54">
        <f ca="1">IF(ISNUMBER(SEARCH($I$1,F848)),MAX($E$2:E847)+1,0)</f>
        <v>0</v>
      </c>
      <c r="F848" s="56" t="s">
        <v>924</v>
      </c>
      <c r="H848" s="55" t="str">
        <f ca="1">IFERROR(VLOOKUP(ROWS($H$3:H848),E:F,2,0),"")</f>
        <v/>
      </c>
    </row>
    <row r="849" spans="1:8" x14ac:dyDescent="0.25">
      <c r="A849" s="54">
        <v>5020308000</v>
      </c>
      <c r="B849" s="54">
        <v>50203080</v>
      </c>
      <c r="C849" s="54">
        <f>RIGHT(Table1[[#This Row],[UACS]],2)*1</f>
        <v>0</v>
      </c>
      <c r="D849" s="54">
        <v>50203080</v>
      </c>
      <c r="E849" s="54">
        <f ca="1">IF(ISNUMBER(SEARCH($I$1,F849)),MAX($E$2:E848)+1,0)</f>
        <v>0</v>
      </c>
      <c r="F849" s="56" t="s">
        <v>925</v>
      </c>
      <c r="H849" s="55" t="str">
        <f ca="1">IFERROR(VLOOKUP(ROWS($H$3:H849),E:F,2,0),"")</f>
        <v/>
      </c>
    </row>
    <row r="850" spans="1:8" x14ac:dyDescent="0.25">
      <c r="A850" s="54">
        <v>5020309000</v>
      </c>
      <c r="B850" s="54">
        <v>50203090</v>
      </c>
      <c r="C850" s="54">
        <f>RIGHT(Table1[[#This Row],[UACS]],2)*1</f>
        <v>0</v>
      </c>
      <c r="D850" s="54">
        <v>50203090</v>
      </c>
      <c r="E850" s="54">
        <f ca="1">IF(ISNUMBER(SEARCH($I$1,F850)),MAX($E$2:E849)+1,0)</f>
        <v>0</v>
      </c>
      <c r="F850" s="56" t="s">
        <v>926</v>
      </c>
      <c r="H850" s="55" t="str">
        <f ca="1">IFERROR(VLOOKUP(ROWS($H$3:H850),E:F,2,0),"")</f>
        <v/>
      </c>
    </row>
    <row r="851" spans="1:8" x14ac:dyDescent="0.25">
      <c r="A851" s="54">
        <v>5020310000</v>
      </c>
      <c r="B851" s="54">
        <v>50203100</v>
      </c>
      <c r="C851" s="54">
        <f>RIGHT(Table1[[#This Row],[UACS]],2)*1</f>
        <v>0</v>
      </c>
      <c r="D851" s="54">
        <v>50203100</v>
      </c>
      <c r="E851" s="54">
        <f ca="1">IF(ISNUMBER(SEARCH($I$1,F851)),MAX($E$2:E850)+1,0)</f>
        <v>0</v>
      </c>
      <c r="F851" s="56" t="s">
        <v>927</v>
      </c>
      <c r="H851" s="55" t="str">
        <f ca="1">IFERROR(VLOOKUP(ROWS($H$3:H851),E:F,2,0),"")</f>
        <v/>
      </c>
    </row>
    <row r="852" spans="1:8" x14ac:dyDescent="0.25">
      <c r="A852" s="54">
        <v>5020311001</v>
      </c>
      <c r="B852" s="54">
        <v>50203110</v>
      </c>
      <c r="C852" s="54">
        <f>RIGHT(Table1[[#This Row],[UACS]],2)*1</f>
        <v>1</v>
      </c>
      <c r="D852" s="54">
        <v>50203110</v>
      </c>
      <c r="E852" s="54">
        <f ca="1">IF(ISNUMBER(SEARCH($I$1,F852)),MAX($E$2:E851)+1,0)</f>
        <v>0</v>
      </c>
      <c r="F852" s="56" t="s">
        <v>928</v>
      </c>
      <c r="H852" s="55" t="str">
        <f ca="1">IFERROR(VLOOKUP(ROWS($H$3:H852),E:F,2,0),"")</f>
        <v/>
      </c>
    </row>
    <row r="853" spans="1:8" x14ac:dyDescent="0.25">
      <c r="A853" s="54">
        <v>5020311002</v>
      </c>
      <c r="B853" s="54">
        <v>50203110</v>
      </c>
      <c r="C853" s="54">
        <f>RIGHT(Table1[[#This Row],[UACS]],2)*1</f>
        <v>2</v>
      </c>
      <c r="D853" s="54">
        <v>50203110</v>
      </c>
      <c r="E853" s="54">
        <f ca="1">IF(ISNUMBER(SEARCH($I$1,F853)),MAX($E$2:E852)+1,0)</f>
        <v>0</v>
      </c>
      <c r="F853" s="56" t="s">
        <v>929</v>
      </c>
      <c r="H853" s="55" t="str">
        <f ca="1">IFERROR(VLOOKUP(ROWS($H$3:H853),E:F,2,0),"")</f>
        <v/>
      </c>
    </row>
    <row r="854" spans="1:8" x14ac:dyDescent="0.25">
      <c r="A854" s="54">
        <v>5020312000</v>
      </c>
      <c r="B854" s="54">
        <v>50203120</v>
      </c>
      <c r="C854" s="54">
        <f>RIGHT(Table1[[#This Row],[UACS]],2)*1</f>
        <v>0</v>
      </c>
      <c r="D854" s="54">
        <v>50203120</v>
      </c>
      <c r="E854" s="54">
        <f ca="1">IF(ISNUMBER(SEARCH($I$1,F854)),MAX($E$2:E853)+1,0)</f>
        <v>0</v>
      </c>
      <c r="F854" s="56" t="s">
        <v>930</v>
      </c>
      <c r="H854" s="55" t="str">
        <f ca="1">IFERROR(VLOOKUP(ROWS($H$3:H854),E:F,2,0),"")</f>
        <v/>
      </c>
    </row>
    <row r="855" spans="1:8" x14ac:dyDescent="0.25">
      <c r="A855" s="54">
        <v>5020313000</v>
      </c>
      <c r="B855" s="54">
        <v>50203130</v>
      </c>
      <c r="C855" s="54">
        <f>RIGHT(Table1[[#This Row],[UACS]],2)*1</f>
        <v>0</v>
      </c>
      <c r="D855" s="54">
        <v>50203130</v>
      </c>
      <c r="E855" s="54">
        <f ca="1">IF(ISNUMBER(SEARCH($I$1,F855)),MAX($E$2:E854)+1,0)</f>
        <v>0</v>
      </c>
      <c r="F855" s="56" t="s">
        <v>931</v>
      </c>
      <c r="H855" s="55" t="str">
        <f ca="1">IFERROR(VLOOKUP(ROWS($H$3:H855),E:F,2,0),"")</f>
        <v/>
      </c>
    </row>
    <row r="856" spans="1:8" x14ac:dyDescent="0.25">
      <c r="A856" s="54">
        <v>5020321001</v>
      </c>
      <c r="B856" s="54">
        <v>50203210</v>
      </c>
      <c r="C856" s="54">
        <f>RIGHT(Table1[[#This Row],[UACS]],2)*1</f>
        <v>1</v>
      </c>
      <c r="D856" s="54">
        <v>50203210</v>
      </c>
      <c r="E856" s="54">
        <f ca="1">IF(ISNUMBER(SEARCH($I$1,F856)),MAX($E$2:E855)+1,0)</f>
        <v>0</v>
      </c>
      <c r="F856" s="56" t="s">
        <v>932</v>
      </c>
      <c r="H856" s="55" t="str">
        <f ca="1">IFERROR(VLOOKUP(ROWS($H$3:H856),E:F,2,0),"")</f>
        <v/>
      </c>
    </row>
    <row r="857" spans="1:8" x14ac:dyDescent="0.25">
      <c r="A857" s="54">
        <v>5020321002</v>
      </c>
      <c r="B857" s="54">
        <v>50203210</v>
      </c>
      <c r="C857" s="54">
        <f>RIGHT(Table1[[#This Row],[UACS]],2)*1</f>
        <v>2</v>
      </c>
      <c r="D857" s="54">
        <v>50203210</v>
      </c>
      <c r="E857" s="54">
        <f ca="1">IF(ISNUMBER(SEARCH($I$1,F857)),MAX($E$2:E856)+1,0)</f>
        <v>0</v>
      </c>
      <c r="F857" s="56" t="s">
        <v>933</v>
      </c>
      <c r="H857" s="55" t="str">
        <f ca="1">IFERROR(VLOOKUP(ROWS($H$3:H857),E:F,2,0),"")</f>
        <v/>
      </c>
    </row>
    <row r="858" spans="1:8" x14ac:dyDescent="0.25">
      <c r="A858" s="54">
        <v>5020321003</v>
      </c>
      <c r="B858" s="54">
        <v>50203210</v>
      </c>
      <c r="C858" s="54">
        <f>RIGHT(Table1[[#This Row],[UACS]],2)*1</f>
        <v>3</v>
      </c>
      <c r="D858" s="54">
        <v>50203210</v>
      </c>
      <c r="E858" s="54">
        <f ca="1">IF(ISNUMBER(SEARCH($I$1,F858)),MAX($E$2:E857)+1,0)</f>
        <v>0</v>
      </c>
      <c r="F858" s="56" t="s">
        <v>934</v>
      </c>
      <c r="H858" s="55" t="str">
        <f ca="1">IFERROR(VLOOKUP(ROWS($H$3:H858),E:F,2,0),"")</f>
        <v/>
      </c>
    </row>
    <row r="859" spans="1:8" x14ac:dyDescent="0.25">
      <c r="A859" s="54">
        <v>5020321004</v>
      </c>
      <c r="B859" s="54">
        <v>50203210</v>
      </c>
      <c r="C859" s="54">
        <f>RIGHT(Table1[[#This Row],[UACS]],2)*1</f>
        <v>4</v>
      </c>
      <c r="D859" s="54">
        <v>50203210</v>
      </c>
      <c r="E859" s="54">
        <f ca="1">IF(ISNUMBER(SEARCH($I$1,F859)),MAX($E$2:E858)+1,0)</f>
        <v>0</v>
      </c>
      <c r="F859" s="56" t="s">
        <v>935</v>
      </c>
      <c r="H859" s="55" t="str">
        <f ca="1">IFERROR(VLOOKUP(ROWS($H$3:H859),E:F,2,0),"")</f>
        <v/>
      </c>
    </row>
    <row r="860" spans="1:8" x14ac:dyDescent="0.25">
      <c r="A860" s="54">
        <v>5020321005</v>
      </c>
      <c r="B860" s="54">
        <v>50203210</v>
      </c>
      <c r="C860" s="54">
        <f>RIGHT(Table1[[#This Row],[UACS]],2)*1</f>
        <v>5</v>
      </c>
      <c r="D860" s="54">
        <v>50203210</v>
      </c>
      <c r="E860" s="54">
        <f ca="1">IF(ISNUMBER(SEARCH($I$1,F860)),MAX($E$2:E859)+1,0)</f>
        <v>0</v>
      </c>
      <c r="F860" s="56" t="s">
        <v>936</v>
      </c>
      <c r="H860" s="55" t="str">
        <f ca="1">IFERROR(VLOOKUP(ROWS($H$3:H860),E:F,2,0),"")</f>
        <v/>
      </c>
    </row>
    <row r="861" spans="1:8" x14ac:dyDescent="0.25">
      <c r="A861" s="54">
        <v>5020321006</v>
      </c>
      <c r="B861" s="54">
        <v>50203210</v>
      </c>
      <c r="C861" s="54">
        <f>RIGHT(Table1[[#This Row],[UACS]],2)*1</f>
        <v>6</v>
      </c>
      <c r="D861" s="54">
        <v>50203210</v>
      </c>
      <c r="E861" s="54">
        <f ca="1">IF(ISNUMBER(SEARCH($I$1,F861)),MAX($E$2:E860)+1,0)</f>
        <v>0</v>
      </c>
      <c r="F861" s="56" t="s">
        <v>937</v>
      </c>
      <c r="H861" s="55" t="str">
        <f ca="1">IFERROR(VLOOKUP(ROWS($H$3:H861),E:F,2,0),"")</f>
        <v/>
      </c>
    </row>
    <row r="862" spans="1:8" x14ac:dyDescent="0.25">
      <c r="A862" s="54">
        <v>5020321007</v>
      </c>
      <c r="B862" s="54">
        <v>50203210</v>
      </c>
      <c r="C862" s="54">
        <f>RIGHT(Table1[[#This Row],[UACS]],2)*1</f>
        <v>7</v>
      </c>
      <c r="D862" s="54">
        <v>50203210</v>
      </c>
      <c r="E862" s="54">
        <f ca="1">IF(ISNUMBER(SEARCH($I$1,F862)),MAX($E$2:E861)+1,0)</f>
        <v>0</v>
      </c>
      <c r="F862" s="56" t="s">
        <v>938</v>
      </c>
      <c r="H862" s="55" t="str">
        <f ca="1">IFERROR(VLOOKUP(ROWS($H$3:H862),E:F,2,0),"")</f>
        <v/>
      </c>
    </row>
    <row r="863" spans="1:8" x14ac:dyDescent="0.25">
      <c r="A863" s="54">
        <v>5020321008</v>
      </c>
      <c r="B863" s="54">
        <v>50203210</v>
      </c>
      <c r="C863" s="54">
        <f>RIGHT(Table1[[#This Row],[UACS]],2)*1</f>
        <v>8</v>
      </c>
      <c r="D863" s="54">
        <v>50203210</v>
      </c>
      <c r="E863" s="54">
        <f ca="1">IF(ISNUMBER(SEARCH($I$1,F863)),MAX($E$2:E862)+1,0)</f>
        <v>0</v>
      </c>
      <c r="F863" s="56" t="s">
        <v>939</v>
      </c>
      <c r="H863" s="55" t="str">
        <f ca="1">IFERROR(VLOOKUP(ROWS($H$3:H863),E:F,2,0),"")</f>
        <v/>
      </c>
    </row>
    <row r="864" spans="1:8" x14ac:dyDescent="0.25">
      <c r="A864" s="54">
        <v>5020321009</v>
      </c>
      <c r="B864" s="54">
        <v>50203210</v>
      </c>
      <c r="C864" s="54">
        <f>RIGHT(Table1[[#This Row],[UACS]],2)*1</f>
        <v>9</v>
      </c>
      <c r="D864" s="54">
        <v>50203210</v>
      </c>
      <c r="E864" s="54">
        <f ca="1">IF(ISNUMBER(SEARCH($I$1,F864)),MAX($E$2:E863)+1,0)</f>
        <v>0</v>
      </c>
      <c r="F864" s="56" t="s">
        <v>940</v>
      </c>
      <c r="H864" s="55" t="str">
        <f ca="1">IFERROR(VLOOKUP(ROWS($H$3:H864),E:F,2,0),"")</f>
        <v/>
      </c>
    </row>
    <row r="865" spans="1:8" x14ac:dyDescent="0.25">
      <c r="A865" s="54">
        <v>5020321010</v>
      </c>
      <c r="B865" s="54">
        <v>50203210</v>
      </c>
      <c r="C865" s="54">
        <f>RIGHT(Table1[[#This Row],[UACS]],2)*1</f>
        <v>10</v>
      </c>
      <c r="D865" s="54">
        <v>50203210</v>
      </c>
      <c r="E865" s="54">
        <f ca="1">IF(ISNUMBER(SEARCH($I$1,F865)),MAX($E$2:E864)+1,0)</f>
        <v>0</v>
      </c>
      <c r="F865" s="56" t="s">
        <v>941</v>
      </c>
      <c r="H865" s="55" t="str">
        <f ca="1">IFERROR(VLOOKUP(ROWS($H$3:H865),E:F,2,0),"")</f>
        <v/>
      </c>
    </row>
    <row r="866" spans="1:8" x14ac:dyDescent="0.25">
      <c r="A866" s="54">
        <v>5020321011</v>
      </c>
      <c r="B866" s="54">
        <v>50203210</v>
      </c>
      <c r="C866" s="54">
        <f>RIGHT(Table1[[#This Row],[UACS]],2)*1</f>
        <v>11</v>
      </c>
      <c r="D866" s="54">
        <v>50203210</v>
      </c>
      <c r="E866" s="54">
        <f ca="1">IF(ISNUMBER(SEARCH($I$1,F866)),MAX($E$2:E865)+1,0)</f>
        <v>0</v>
      </c>
      <c r="F866" s="56" t="s">
        <v>942</v>
      </c>
      <c r="H866" s="55" t="str">
        <f ca="1">IFERROR(VLOOKUP(ROWS($H$3:H866),E:F,2,0),"")</f>
        <v/>
      </c>
    </row>
    <row r="867" spans="1:8" x14ac:dyDescent="0.25">
      <c r="A867" s="54">
        <v>5020321012</v>
      </c>
      <c r="B867" s="54">
        <v>50203210</v>
      </c>
      <c r="C867" s="54">
        <f>RIGHT(Table1[[#This Row],[UACS]],2)*1</f>
        <v>12</v>
      </c>
      <c r="D867" s="54">
        <v>50203210</v>
      </c>
      <c r="E867" s="54">
        <f ca="1">IF(ISNUMBER(SEARCH($I$1,F867)),MAX($E$2:E866)+1,0)</f>
        <v>0</v>
      </c>
      <c r="F867" s="56" t="s">
        <v>943</v>
      </c>
      <c r="H867" s="55" t="str">
        <f ca="1">IFERROR(VLOOKUP(ROWS($H$3:H867),E:F,2,0),"")</f>
        <v/>
      </c>
    </row>
    <row r="868" spans="1:8" x14ac:dyDescent="0.25">
      <c r="A868" s="54">
        <v>5020321013</v>
      </c>
      <c r="B868" s="54">
        <v>50203210</v>
      </c>
      <c r="C868" s="54">
        <f>RIGHT(Table1[[#This Row],[UACS]],2)*1</f>
        <v>13</v>
      </c>
      <c r="D868" s="54">
        <v>50203210</v>
      </c>
      <c r="E868" s="54">
        <f ca="1">IF(ISNUMBER(SEARCH($I$1,F868)),MAX($E$2:E867)+1,0)</f>
        <v>0</v>
      </c>
      <c r="F868" s="56" t="s">
        <v>944</v>
      </c>
      <c r="H868" s="55" t="str">
        <f ca="1">IFERROR(VLOOKUP(ROWS($H$3:H868),E:F,2,0),"")</f>
        <v/>
      </c>
    </row>
    <row r="869" spans="1:8" x14ac:dyDescent="0.25">
      <c r="A869" s="54">
        <v>5020321099</v>
      </c>
      <c r="B869" s="54">
        <v>50203210</v>
      </c>
      <c r="C869" s="54">
        <f>RIGHT(Table1[[#This Row],[UACS]],2)*1</f>
        <v>99</v>
      </c>
      <c r="D869" s="54">
        <v>50203210</v>
      </c>
      <c r="E869" s="54">
        <f ca="1">IF(ISNUMBER(SEARCH($I$1,F869)),MAX($E$2:E868)+1,0)</f>
        <v>0</v>
      </c>
      <c r="F869" s="56" t="s">
        <v>945</v>
      </c>
      <c r="H869" s="55" t="str">
        <f ca="1">IFERROR(VLOOKUP(ROWS($H$3:H869),E:F,2,0),"")</f>
        <v/>
      </c>
    </row>
    <row r="870" spans="1:8" x14ac:dyDescent="0.25">
      <c r="A870" s="54">
        <v>5020322001</v>
      </c>
      <c r="B870" s="54">
        <v>50203220</v>
      </c>
      <c r="C870" s="54">
        <f>RIGHT(Table1[[#This Row],[UACS]],2)*1</f>
        <v>1</v>
      </c>
      <c r="D870" s="54">
        <v>50203220</v>
      </c>
      <c r="E870" s="54">
        <f ca="1">IF(ISNUMBER(SEARCH($I$1,F870)),MAX($E$2:E869)+1,0)</f>
        <v>0</v>
      </c>
      <c r="F870" s="56" t="s">
        <v>946</v>
      </c>
      <c r="H870" s="55" t="str">
        <f ca="1">IFERROR(VLOOKUP(ROWS($H$3:H870),E:F,2,0),"")</f>
        <v/>
      </c>
    </row>
    <row r="871" spans="1:8" x14ac:dyDescent="0.25">
      <c r="A871" s="54">
        <v>5020322002</v>
      </c>
      <c r="B871" s="54">
        <v>50203220</v>
      </c>
      <c r="C871" s="54">
        <f>RIGHT(Table1[[#This Row],[UACS]],2)*1</f>
        <v>2</v>
      </c>
      <c r="D871" s="54">
        <v>50203220</v>
      </c>
      <c r="E871" s="54">
        <f ca="1">IF(ISNUMBER(SEARCH($I$1,F871)),MAX($E$2:E870)+1,0)</f>
        <v>0</v>
      </c>
      <c r="F871" s="56" t="s">
        <v>947</v>
      </c>
      <c r="H871" s="55" t="str">
        <f ca="1">IFERROR(VLOOKUP(ROWS($H$3:H871),E:F,2,0),"")</f>
        <v/>
      </c>
    </row>
    <row r="872" spans="1:8" x14ac:dyDescent="0.25">
      <c r="A872" s="54">
        <v>5020399000</v>
      </c>
      <c r="B872" s="54">
        <v>50203990</v>
      </c>
      <c r="C872" s="54">
        <f>RIGHT(Table1[[#This Row],[UACS]],2)*1</f>
        <v>0</v>
      </c>
      <c r="D872" s="54">
        <v>50203990</v>
      </c>
      <c r="E872" s="54">
        <f ca="1">IF(ISNUMBER(SEARCH($I$1,F872)),MAX($E$2:E871)+1,0)</f>
        <v>0</v>
      </c>
      <c r="F872" s="56" t="s">
        <v>948</v>
      </c>
      <c r="H872" s="55" t="str">
        <f ca="1">IFERROR(VLOOKUP(ROWS($H$3:H872),E:F,2,0),"")</f>
        <v/>
      </c>
    </row>
    <row r="873" spans="1:8" x14ac:dyDescent="0.25">
      <c r="A873" s="54">
        <v>5020401000</v>
      </c>
      <c r="B873" s="54">
        <v>50204010</v>
      </c>
      <c r="C873" s="54">
        <f>RIGHT(Table1[[#This Row],[UACS]],2)*1</f>
        <v>0</v>
      </c>
      <c r="D873" s="54">
        <v>50204010</v>
      </c>
      <c r="E873" s="54">
        <f ca="1">IF(ISNUMBER(SEARCH($I$1,F873)),MAX($E$2:E872)+1,0)</f>
        <v>0</v>
      </c>
      <c r="F873" s="56" t="s">
        <v>949</v>
      </c>
      <c r="H873" s="55" t="str">
        <f ca="1">IFERROR(VLOOKUP(ROWS($H$3:H873),E:F,2,0),"")</f>
        <v/>
      </c>
    </row>
    <row r="874" spans="1:8" x14ac:dyDescent="0.25">
      <c r="A874" s="54">
        <v>5020402000</v>
      </c>
      <c r="B874" s="54">
        <v>50204020</v>
      </c>
      <c r="C874" s="54">
        <f>RIGHT(Table1[[#This Row],[UACS]],2)*1</f>
        <v>0</v>
      </c>
      <c r="D874" s="54">
        <v>50204020</v>
      </c>
      <c r="E874" s="54">
        <f ca="1">IF(ISNUMBER(SEARCH($I$1,F874)),MAX($E$2:E873)+1,0)</f>
        <v>0</v>
      </c>
      <c r="F874" s="56" t="s">
        <v>950</v>
      </c>
      <c r="H874" s="55" t="str">
        <f ca="1">IFERROR(VLOOKUP(ROWS($H$3:H874),E:F,2,0),"")</f>
        <v/>
      </c>
    </row>
    <row r="875" spans="1:8" x14ac:dyDescent="0.25">
      <c r="A875" s="54">
        <v>5020403000</v>
      </c>
      <c r="B875" s="54">
        <v>50204030</v>
      </c>
      <c r="C875" s="54">
        <f>RIGHT(Table1[[#This Row],[UACS]],2)*1</f>
        <v>0</v>
      </c>
      <c r="D875" s="54">
        <v>50204030</v>
      </c>
      <c r="E875" s="54">
        <f ca="1">IF(ISNUMBER(SEARCH($I$1,F875)),MAX($E$2:E874)+1,0)</f>
        <v>0</v>
      </c>
      <c r="F875" s="56" t="s">
        <v>951</v>
      </c>
      <c r="H875" s="55" t="str">
        <f ca="1">IFERROR(VLOOKUP(ROWS($H$3:H875),E:F,2,0),"")</f>
        <v/>
      </c>
    </row>
    <row r="876" spans="1:8" x14ac:dyDescent="0.25">
      <c r="A876" s="54">
        <v>5020499000</v>
      </c>
      <c r="B876" s="54">
        <v>50204990</v>
      </c>
      <c r="C876" s="54">
        <f>RIGHT(Table1[[#This Row],[UACS]],2)*1</f>
        <v>0</v>
      </c>
      <c r="D876" s="54">
        <v>50204990</v>
      </c>
      <c r="E876" s="54">
        <f ca="1">IF(ISNUMBER(SEARCH($I$1,F876)),MAX($E$2:E875)+1,0)</f>
        <v>0</v>
      </c>
      <c r="F876" s="56" t="s">
        <v>952</v>
      </c>
      <c r="H876" s="55" t="str">
        <f ca="1">IFERROR(VLOOKUP(ROWS($H$3:H876),E:F,2,0),"")</f>
        <v/>
      </c>
    </row>
    <row r="877" spans="1:8" x14ac:dyDescent="0.25">
      <c r="A877" s="54">
        <v>5020501000</v>
      </c>
      <c r="B877" s="54">
        <v>50205010</v>
      </c>
      <c r="C877" s="54">
        <f>RIGHT(Table1[[#This Row],[UACS]],2)*1</f>
        <v>0</v>
      </c>
      <c r="D877" s="54">
        <v>50205010</v>
      </c>
      <c r="E877" s="54">
        <f ca="1">IF(ISNUMBER(SEARCH($I$1,F877)),MAX($E$2:E876)+1,0)</f>
        <v>0</v>
      </c>
      <c r="F877" s="56" t="s">
        <v>953</v>
      </c>
      <c r="H877" s="55" t="str">
        <f ca="1">IFERROR(VLOOKUP(ROWS($H$3:H877),E:F,2,0),"")</f>
        <v/>
      </c>
    </row>
    <row r="878" spans="1:8" x14ac:dyDescent="0.25">
      <c r="A878" s="54">
        <v>5020502001</v>
      </c>
      <c r="B878" s="54">
        <v>50205020</v>
      </c>
      <c r="C878" s="54">
        <f>RIGHT(Table1[[#This Row],[UACS]],2)*1</f>
        <v>1</v>
      </c>
      <c r="D878" s="54">
        <v>50205020</v>
      </c>
      <c r="E878" s="54">
        <f ca="1">IF(ISNUMBER(SEARCH($I$1,F878)),MAX($E$2:E877)+1,0)</f>
        <v>0</v>
      </c>
      <c r="F878" s="56" t="s">
        <v>954</v>
      </c>
      <c r="H878" s="55" t="str">
        <f ca="1">IFERROR(VLOOKUP(ROWS($H$3:H878),E:F,2,0),"")</f>
        <v/>
      </c>
    </row>
    <row r="879" spans="1:8" x14ac:dyDescent="0.25">
      <c r="A879" s="54">
        <v>5020502002</v>
      </c>
      <c r="B879" s="54">
        <v>50205020</v>
      </c>
      <c r="C879" s="54">
        <f>RIGHT(Table1[[#This Row],[UACS]],2)*1</f>
        <v>2</v>
      </c>
      <c r="D879" s="54">
        <v>50205020</v>
      </c>
      <c r="E879" s="54">
        <f ca="1">IF(ISNUMBER(SEARCH($I$1,F879)),MAX($E$2:E878)+1,0)</f>
        <v>0</v>
      </c>
      <c r="F879" s="56" t="s">
        <v>955</v>
      </c>
      <c r="H879" s="55" t="str">
        <f ca="1">IFERROR(VLOOKUP(ROWS($H$3:H879),E:F,2,0),"")</f>
        <v/>
      </c>
    </row>
    <row r="880" spans="1:8" x14ac:dyDescent="0.25">
      <c r="A880" s="54">
        <v>5020503000</v>
      </c>
      <c r="B880" s="54">
        <v>50205030</v>
      </c>
      <c r="C880" s="54">
        <f>RIGHT(Table1[[#This Row],[UACS]],2)*1</f>
        <v>0</v>
      </c>
      <c r="D880" s="54">
        <v>50205030</v>
      </c>
      <c r="E880" s="54">
        <f ca="1">IF(ISNUMBER(SEARCH($I$1,F880)),MAX($E$2:E879)+1,0)</f>
        <v>0</v>
      </c>
      <c r="F880" s="56" t="s">
        <v>956</v>
      </c>
      <c r="H880" s="55" t="str">
        <f ca="1">IFERROR(VLOOKUP(ROWS($H$3:H880),E:F,2,0),"")</f>
        <v/>
      </c>
    </row>
    <row r="881" spans="1:8" x14ac:dyDescent="0.25">
      <c r="A881" s="54">
        <v>5020504000</v>
      </c>
      <c r="B881" s="54">
        <v>50205040</v>
      </c>
      <c r="C881" s="54">
        <f>RIGHT(Table1[[#This Row],[UACS]],2)*1</f>
        <v>0</v>
      </c>
      <c r="D881" s="54">
        <v>50205040</v>
      </c>
      <c r="E881" s="54">
        <f ca="1">IF(ISNUMBER(SEARCH($I$1,F881)),MAX($E$2:E880)+1,0)</f>
        <v>0</v>
      </c>
      <c r="F881" s="56" t="s">
        <v>957</v>
      </c>
      <c r="H881" s="55" t="str">
        <f ca="1">IFERROR(VLOOKUP(ROWS($H$3:H881),E:F,2,0),"")</f>
        <v/>
      </c>
    </row>
    <row r="882" spans="1:8" x14ac:dyDescent="0.25">
      <c r="A882" s="54">
        <v>5020601001</v>
      </c>
      <c r="B882" s="54">
        <v>50206010</v>
      </c>
      <c r="C882" s="54">
        <f>RIGHT(Table1[[#This Row],[UACS]],2)*1</f>
        <v>1</v>
      </c>
      <c r="D882" s="54">
        <v>50206010</v>
      </c>
      <c r="E882" s="54">
        <f ca="1">IF(ISNUMBER(SEARCH($I$1,F882)),MAX($E$2:E881)+1,0)</f>
        <v>0</v>
      </c>
      <c r="F882" s="56" t="s">
        <v>958</v>
      </c>
      <c r="H882" s="55" t="str">
        <f ca="1">IFERROR(VLOOKUP(ROWS($H$3:H882),E:F,2,0),"")</f>
        <v/>
      </c>
    </row>
    <row r="883" spans="1:8" x14ac:dyDescent="0.25">
      <c r="A883" s="54">
        <v>5020601002</v>
      </c>
      <c r="B883" s="54">
        <v>50206010</v>
      </c>
      <c r="C883" s="54">
        <f>RIGHT(Table1[[#This Row],[UACS]],2)*1</f>
        <v>2</v>
      </c>
      <c r="D883" s="54">
        <v>50206010</v>
      </c>
      <c r="E883" s="54">
        <f ca="1">IF(ISNUMBER(SEARCH($I$1,F883)),MAX($E$2:E882)+1,0)</f>
        <v>0</v>
      </c>
      <c r="F883" s="56" t="s">
        <v>959</v>
      </c>
      <c r="H883" s="55" t="str">
        <f ca="1">IFERROR(VLOOKUP(ROWS($H$3:H883),E:F,2,0),"")</f>
        <v/>
      </c>
    </row>
    <row r="884" spans="1:8" x14ac:dyDescent="0.25">
      <c r="A884" s="54">
        <v>5020602000</v>
      </c>
      <c r="B884" s="54">
        <v>50206020</v>
      </c>
      <c r="C884" s="54">
        <f>RIGHT(Table1[[#This Row],[UACS]],2)*1</f>
        <v>0</v>
      </c>
      <c r="D884" s="54">
        <v>50206020</v>
      </c>
      <c r="E884" s="54">
        <f ca="1">IF(ISNUMBER(SEARCH($I$1,F884)),MAX($E$2:E883)+1,0)</f>
        <v>0</v>
      </c>
      <c r="F884" s="56" t="s">
        <v>960</v>
      </c>
      <c r="H884" s="55" t="str">
        <f ca="1">IFERROR(VLOOKUP(ROWS($H$3:H884),E:F,2,0),"")</f>
        <v/>
      </c>
    </row>
    <row r="885" spans="1:8" x14ac:dyDescent="0.25">
      <c r="A885" s="54">
        <v>5020603000</v>
      </c>
      <c r="B885" s="54">
        <v>50206030</v>
      </c>
      <c r="C885" s="54">
        <f>RIGHT(Table1[[#This Row],[UACS]],2)*1</f>
        <v>0</v>
      </c>
      <c r="D885" s="54">
        <v>50206030</v>
      </c>
      <c r="E885" s="54">
        <f ca="1">IF(ISNUMBER(SEARCH($I$1,F885)),MAX($E$2:E884)+1,0)</f>
        <v>0</v>
      </c>
      <c r="F885" s="56" t="s">
        <v>961</v>
      </c>
      <c r="H885" s="55" t="str">
        <f ca="1">IFERROR(VLOOKUP(ROWS($H$3:H885),E:F,2,0),"")</f>
        <v/>
      </c>
    </row>
    <row r="886" spans="1:8" x14ac:dyDescent="0.25">
      <c r="A886" s="54">
        <v>5020701000</v>
      </c>
      <c r="B886" s="54">
        <v>50207010</v>
      </c>
      <c r="C886" s="54">
        <f>RIGHT(Table1[[#This Row],[UACS]],2)*1</f>
        <v>0</v>
      </c>
      <c r="D886" s="54">
        <v>50207010</v>
      </c>
      <c r="E886" s="54">
        <f ca="1">IF(ISNUMBER(SEARCH($I$1,F886)),MAX($E$2:E885)+1,0)</f>
        <v>0</v>
      </c>
      <c r="F886" s="56" t="s">
        <v>962</v>
      </c>
      <c r="H886" s="55" t="str">
        <f ca="1">IFERROR(VLOOKUP(ROWS($H$3:H886),E:F,2,0),"")</f>
        <v/>
      </c>
    </row>
    <row r="887" spans="1:8" x14ac:dyDescent="0.25">
      <c r="A887" s="54">
        <v>5020702000</v>
      </c>
      <c r="B887" s="54">
        <v>50207020</v>
      </c>
      <c r="C887" s="54">
        <f>RIGHT(Table1[[#This Row],[UACS]],2)*1</f>
        <v>0</v>
      </c>
      <c r="D887" s="54">
        <v>50207020</v>
      </c>
      <c r="E887" s="54">
        <f ca="1">IF(ISNUMBER(SEARCH($I$1,F887)),MAX($E$2:E886)+1,0)</f>
        <v>0</v>
      </c>
      <c r="F887" s="56" t="s">
        <v>963</v>
      </c>
      <c r="H887" s="55" t="str">
        <f ca="1">IFERROR(VLOOKUP(ROWS($H$3:H887),E:F,2,0),"")</f>
        <v/>
      </c>
    </row>
    <row r="888" spans="1:8" x14ac:dyDescent="0.25">
      <c r="A888" s="54">
        <v>5020801000</v>
      </c>
      <c r="B888" s="54">
        <v>50208010</v>
      </c>
      <c r="C888" s="54">
        <f>RIGHT(Table1[[#This Row],[UACS]],2)*1</f>
        <v>0</v>
      </c>
      <c r="D888" s="54">
        <v>50208010</v>
      </c>
      <c r="E888" s="54">
        <f ca="1">IF(ISNUMBER(SEARCH($I$1,F888)),MAX($E$2:E887)+1,0)</f>
        <v>0</v>
      </c>
      <c r="F888" s="56" t="s">
        <v>964</v>
      </c>
      <c r="H888" s="55" t="str">
        <f ca="1">IFERROR(VLOOKUP(ROWS($H$3:H888),E:F,2,0),"")</f>
        <v/>
      </c>
    </row>
    <row r="889" spans="1:8" x14ac:dyDescent="0.25">
      <c r="A889" s="54">
        <v>5020802000</v>
      </c>
      <c r="B889" s="54">
        <v>50208020</v>
      </c>
      <c r="C889" s="54">
        <f>RIGHT(Table1[[#This Row],[UACS]],2)*1</f>
        <v>0</v>
      </c>
      <c r="D889" s="54">
        <v>50208020</v>
      </c>
      <c r="E889" s="54">
        <f ca="1">IF(ISNUMBER(SEARCH($I$1,F889)),MAX($E$2:E888)+1,0)</f>
        <v>0</v>
      </c>
      <c r="F889" s="56" t="s">
        <v>965</v>
      </c>
      <c r="H889" s="55" t="str">
        <f ca="1">IFERROR(VLOOKUP(ROWS($H$3:H889),E:F,2,0),"")</f>
        <v/>
      </c>
    </row>
    <row r="890" spans="1:8" x14ac:dyDescent="0.25">
      <c r="A890" s="54">
        <v>5020901000</v>
      </c>
      <c r="B890" s="54">
        <v>50209010</v>
      </c>
      <c r="C890" s="54">
        <f>RIGHT(Table1[[#This Row],[UACS]],2)*1</f>
        <v>0</v>
      </c>
      <c r="D890" s="54">
        <v>50209010</v>
      </c>
      <c r="E890" s="54">
        <f ca="1">IF(ISNUMBER(SEARCH($I$1,F890)),MAX($E$2:E889)+1,0)</f>
        <v>0</v>
      </c>
      <c r="F890" s="56" t="s">
        <v>966</v>
      </c>
      <c r="H890" s="55" t="str">
        <f ca="1">IFERROR(VLOOKUP(ROWS($H$3:H890),E:F,2,0),"")</f>
        <v/>
      </c>
    </row>
    <row r="891" spans="1:8" x14ac:dyDescent="0.25">
      <c r="A891" s="54">
        <v>5021001000</v>
      </c>
      <c r="B891" s="54">
        <v>50210010</v>
      </c>
      <c r="C891" s="54">
        <f>RIGHT(Table1[[#This Row],[UACS]],2)*1</f>
        <v>0</v>
      </c>
      <c r="D891" s="54">
        <v>50210010</v>
      </c>
      <c r="E891" s="54">
        <f ca="1">IF(ISNUMBER(SEARCH($I$1,F891)),MAX($E$2:E890)+1,0)</f>
        <v>0</v>
      </c>
      <c r="F891" s="56" t="s">
        <v>967</v>
      </c>
      <c r="H891" s="55" t="str">
        <f ca="1">IFERROR(VLOOKUP(ROWS($H$3:H891),E:F,2,0),"")</f>
        <v/>
      </c>
    </row>
    <row r="892" spans="1:8" x14ac:dyDescent="0.25">
      <c r="A892" s="54">
        <v>5021002000</v>
      </c>
      <c r="B892" s="54">
        <v>50210020</v>
      </c>
      <c r="C892" s="54">
        <f>RIGHT(Table1[[#This Row],[UACS]],2)*1</f>
        <v>0</v>
      </c>
      <c r="D892" s="54">
        <v>50210020</v>
      </c>
      <c r="E892" s="54">
        <f ca="1">IF(ISNUMBER(SEARCH($I$1,F892)),MAX($E$2:E891)+1,0)</f>
        <v>0</v>
      </c>
      <c r="F892" s="56" t="s">
        <v>968</v>
      </c>
      <c r="H892" s="55" t="str">
        <f ca="1">IFERROR(VLOOKUP(ROWS($H$3:H892),E:F,2,0),"")</f>
        <v/>
      </c>
    </row>
    <row r="893" spans="1:8" x14ac:dyDescent="0.25">
      <c r="A893" s="54">
        <v>5021003000</v>
      </c>
      <c r="B893" s="54">
        <v>50210030</v>
      </c>
      <c r="C893" s="54">
        <f>RIGHT(Table1[[#This Row],[UACS]],2)*1</f>
        <v>0</v>
      </c>
      <c r="D893" s="54">
        <v>50210030</v>
      </c>
      <c r="E893" s="54">
        <f ca="1">IF(ISNUMBER(SEARCH($I$1,F893)),MAX($E$2:E892)+1,0)</f>
        <v>0</v>
      </c>
      <c r="F893" s="56" t="s">
        <v>969</v>
      </c>
      <c r="H893" s="55" t="str">
        <f ca="1">IFERROR(VLOOKUP(ROWS($H$3:H893),E:F,2,0),"")</f>
        <v/>
      </c>
    </row>
    <row r="894" spans="1:8" x14ac:dyDescent="0.25">
      <c r="A894" s="54">
        <v>5021101000</v>
      </c>
      <c r="B894" s="54">
        <v>50211010</v>
      </c>
      <c r="C894" s="54">
        <f>RIGHT(Table1[[#This Row],[UACS]],2)*1</f>
        <v>0</v>
      </c>
      <c r="D894" s="54">
        <v>50211010</v>
      </c>
      <c r="E894" s="54">
        <f ca="1">IF(ISNUMBER(SEARCH($I$1,F894)),MAX($E$2:E893)+1,0)</f>
        <v>0</v>
      </c>
      <c r="F894" s="56" t="s">
        <v>970</v>
      </c>
      <c r="H894" s="55" t="str">
        <f ca="1">IFERROR(VLOOKUP(ROWS($H$3:H894),E:F,2,0),"")</f>
        <v/>
      </c>
    </row>
    <row r="895" spans="1:8" x14ac:dyDescent="0.25">
      <c r="A895" s="54">
        <v>5021102000</v>
      </c>
      <c r="B895" s="54">
        <v>50211020</v>
      </c>
      <c r="C895" s="54">
        <f>RIGHT(Table1[[#This Row],[UACS]],2)*1</f>
        <v>0</v>
      </c>
      <c r="D895" s="54">
        <v>50211020</v>
      </c>
      <c r="E895" s="54">
        <f ca="1">IF(ISNUMBER(SEARCH($I$1,F895)),MAX($E$2:E894)+1,0)</f>
        <v>0</v>
      </c>
      <c r="F895" s="56" t="s">
        <v>971</v>
      </c>
      <c r="H895" s="55" t="str">
        <f ca="1">IFERROR(VLOOKUP(ROWS($H$3:H895),E:F,2,0),"")</f>
        <v/>
      </c>
    </row>
    <row r="896" spans="1:8" x14ac:dyDescent="0.25">
      <c r="A896" s="54">
        <v>5021103000</v>
      </c>
      <c r="B896" s="54">
        <v>50211030</v>
      </c>
      <c r="C896" s="54">
        <f>RIGHT(Table1[[#This Row],[UACS]],2)*1</f>
        <v>0</v>
      </c>
      <c r="D896" s="54">
        <v>50211030</v>
      </c>
      <c r="E896" s="54">
        <f ca="1">IF(ISNUMBER(SEARCH($I$1,F896)),MAX($E$2:E895)+1,0)</f>
        <v>0</v>
      </c>
      <c r="F896" s="56" t="s">
        <v>972</v>
      </c>
      <c r="H896" s="55" t="str">
        <f ca="1">IFERROR(VLOOKUP(ROWS($H$3:H896),E:F,2,0),"")</f>
        <v/>
      </c>
    </row>
    <row r="897" spans="1:8" x14ac:dyDescent="0.25">
      <c r="A897" s="54">
        <v>5021199000</v>
      </c>
      <c r="B897" s="54">
        <v>50211990</v>
      </c>
      <c r="C897" s="54">
        <f>RIGHT(Table1[[#This Row],[UACS]],2)*1</f>
        <v>0</v>
      </c>
      <c r="D897" s="54">
        <v>50211990</v>
      </c>
      <c r="E897" s="54">
        <f ca="1">IF(ISNUMBER(SEARCH($I$1,F897)),MAX($E$2:E896)+1,0)</f>
        <v>0</v>
      </c>
      <c r="F897" s="56" t="s">
        <v>973</v>
      </c>
      <c r="H897" s="55" t="str">
        <f ca="1">IFERROR(VLOOKUP(ROWS($H$3:H897),E:F,2,0),"")</f>
        <v/>
      </c>
    </row>
    <row r="898" spans="1:8" x14ac:dyDescent="0.25">
      <c r="A898" s="54">
        <v>5021201000</v>
      </c>
      <c r="B898" s="54">
        <v>50212010</v>
      </c>
      <c r="C898" s="54">
        <f>RIGHT(Table1[[#This Row],[UACS]],2)*1</f>
        <v>0</v>
      </c>
      <c r="D898" s="54">
        <v>50212010</v>
      </c>
      <c r="E898" s="54">
        <f ca="1">IF(ISNUMBER(SEARCH($I$1,F898)),MAX($E$2:E897)+1,0)</f>
        <v>0</v>
      </c>
      <c r="F898" s="56" t="s">
        <v>974</v>
      </c>
      <c r="H898" s="55" t="str">
        <f ca="1">IFERROR(VLOOKUP(ROWS($H$3:H898),E:F,2,0),"")</f>
        <v/>
      </c>
    </row>
    <row r="899" spans="1:8" x14ac:dyDescent="0.25">
      <c r="A899" s="54">
        <v>5021202000</v>
      </c>
      <c r="B899" s="54">
        <v>50212020</v>
      </c>
      <c r="C899" s="54">
        <f>RIGHT(Table1[[#This Row],[UACS]],2)*1</f>
        <v>0</v>
      </c>
      <c r="D899" s="54">
        <v>50212020</v>
      </c>
      <c r="E899" s="54">
        <f ca="1">IF(ISNUMBER(SEARCH($I$1,F899)),MAX($E$2:E898)+1,0)</f>
        <v>0</v>
      </c>
      <c r="F899" s="56" t="s">
        <v>975</v>
      </c>
      <c r="H899" s="55" t="str">
        <f ca="1">IFERROR(VLOOKUP(ROWS($H$3:H899),E:F,2,0),"")</f>
        <v/>
      </c>
    </row>
    <row r="900" spans="1:8" x14ac:dyDescent="0.25">
      <c r="A900" s="54">
        <v>5021203000</v>
      </c>
      <c r="B900" s="54">
        <v>50212030</v>
      </c>
      <c r="C900" s="54">
        <f>RIGHT(Table1[[#This Row],[UACS]],2)*1</f>
        <v>0</v>
      </c>
      <c r="D900" s="54">
        <v>50212030</v>
      </c>
      <c r="E900" s="54">
        <f ca="1">IF(ISNUMBER(SEARCH($I$1,F900)),MAX($E$2:E899)+1,0)</f>
        <v>0</v>
      </c>
      <c r="F900" s="56" t="s">
        <v>976</v>
      </c>
      <c r="H900" s="55" t="str">
        <f ca="1">IFERROR(VLOOKUP(ROWS($H$3:H900),E:F,2,0),"")</f>
        <v/>
      </c>
    </row>
    <row r="901" spans="1:8" x14ac:dyDescent="0.25">
      <c r="A901" s="54">
        <v>5021299000</v>
      </c>
      <c r="B901" s="54">
        <v>50212990</v>
      </c>
      <c r="C901" s="54">
        <f>RIGHT(Table1[[#This Row],[UACS]],2)*1</f>
        <v>0</v>
      </c>
      <c r="D901" s="54">
        <v>50212990</v>
      </c>
      <c r="E901" s="54">
        <f ca="1">IF(ISNUMBER(SEARCH($I$1,F901)),MAX($E$2:E900)+1,0)</f>
        <v>0</v>
      </c>
      <c r="F901" s="56" t="s">
        <v>977</v>
      </c>
      <c r="H901" s="55" t="str">
        <f ca="1">IFERROR(VLOOKUP(ROWS($H$3:H901),E:F,2,0),"")</f>
        <v/>
      </c>
    </row>
    <row r="902" spans="1:8" x14ac:dyDescent="0.25">
      <c r="A902" s="54">
        <v>5021301000</v>
      </c>
      <c r="B902" s="54">
        <v>50213010</v>
      </c>
      <c r="C902" s="54">
        <f>RIGHT(Table1[[#This Row],[UACS]],2)*1</f>
        <v>0</v>
      </c>
      <c r="D902" s="54">
        <v>50213010</v>
      </c>
      <c r="E902" s="54">
        <f ca="1">IF(ISNUMBER(SEARCH($I$1,F902)),MAX($E$2:E901)+1,0)</f>
        <v>0</v>
      </c>
      <c r="F902" s="56" t="s">
        <v>978</v>
      </c>
      <c r="H902" s="55" t="str">
        <f ca="1">IFERROR(VLOOKUP(ROWS($H$3:H902),E:F,2,0),"")</f>
        <v/>
      </c>
    </row>
    <row r="903" spans="1:8" x14ac:dyDescent="0.25">
      <c r="A903" s="54">
        <v>5021302001</v>
      </c>
      <c r="B903" s="54">
        <v>50213020</v>
      </c>
      <c r="C903" s="54">
        <f>RIGHT(Table1[[#This Row],[UACS]],2)*1</f>
        <v>1</v>
      </c>
      <c r="D903" s="54">
        <v>50213020</v>
      </c>
      <c r="E903" s="54">
        <f ca="1">IF(ISNUMBER(SEARCH($I$1,F903)),MAX($E$2:E902)+1,0)</f>
        <v>0</v>
      </c>
      <c r="F903" s="56" t="s">
        <v>979</v>
      </c>
      <c r="H903" s="55" t="str">
        <f ca="1">IFERROR(VLOOKUP(ROWS($H$3:H903),E:F,2,0),"")</f>
        <v/>
      </c>
    </row>
    <row r="904" spans="1:8" x14ac:dyDescent="0.25">
      <c r="A904" s="54">
        <v>5021302002</v>
      </c>
      <c r="B904" s="54">
        <v>50213020</v>
      </c>
      <c r="C904" s="54">
        <f>RIGHT(Table1[[#This Row],[UACS]],2)*1</f>
        <v>2</v>
      </c>
      <c r="D904" s="54">
        <v>50213020</v>
      </c>
      <c r="E904" s="54">
        <f ca="1">IF(ISNUMBER(SEARCH($I$1,F904)),MAX($E$2:E903)+1,0)</f>
        <v>0</v>
      </c>
      <c r="F904" s="56" t="s">
        <v>980</v>
      </c>
      <c r="H904" s="55" t="str">
        <f ca="1">IFERROR(VLOOKUP(ROWS($H$3:H904),E:F,2,0),"")</f>
        <v/>
      </c>
    </row>
    <row r="905" spans="1:8" x14ac:dyDescent="0.25">
      <c r="A905" s="54">
        <v>5021302099</v>
      </c>
      <c r="B905" s="54">
        <v>50213020</v>
      </c>
      <c r="C905" s="54">
        <f>RIGHT(Table1[[#This Row],[UACS]],2)*1</f>
        <v>99</v>
      </c>
      <c r="D905" s="54">
        <v>50213020</v>
      </c>
      <c r="E905" s="54">
        <f ca="1">IF(ISNUMBER(SEARCH($I$1,F905)),MAX($E$2:E904)+1,0)</f>
        <v>0</v>
      </c>
      <c r="F905" s="56" t="s">
        <v>981</v>
      </c>
      <c r="H905" s="55" t="str">
        <f ca="1">IFERROR(VLOOKUP(ROWS($H$3:H905),E:F,2,0),"")</f>
        <v/>
      </c>
    </row>
    <row r="906" spans="1:8" x14ac:dyDescent="0.25">
      <c r="A906" s="54">
        <v>5021303001</v>
      </c>
      <c r="B906" s="54">
        <v>50213030</v>
      </c>
      <c r="C906" s="54">
        <f>RIGHT(Table1[[#This Row],[UACS]],2)*1</f>
        <v>1</v>
      </c>
      <c r="D906" s="54">
        <v>50213030</v>
      </c>
      <c r="E906" s="54">
        <f ca="1">IF(ISNUMBER(SEARCH($I$1,F906)),MAX($E$2:E905)+1,0)</f>
        <v>0</v>
      </c>
      <c r="F906" s="56" t="s">
        <v>982</v>
      </c>
      <c r="H906" s="55" t="str">
        <f ca="1">IFERROR(VLOOKUP(ROWS($H$3:H906),E:F,2,0),"")</f>
        <v/>
      </c>
    </row>
    <row r="907" spans="1:8" x14ac:dyDescent="0.25">
      <c r="A907" s="54">
        <v>5021303002</v>
      </c>
      <c r="B907" s="54">
        <v>50213030</v>
      </c>
      <c r="C907" s="54">
        <f>RIGHT(Table1[[#This Row],[UACS]],2)*1</f>
        <v>2</v>
      </c>
      <c r="D907" s="54">
        <v>50213030</v>
      </c>
      <c r="E907" s="54">
        <f ca="1">IF(ISNUMBER(SEARCH($I$1,F907)),MAX($E$2:E906)+1,0)</f>
        <v>0</v>
      </c>
      <c r="F907" s="56" t="s">
        <v>983</v>
      </c>
      <c r="H907" s="55" t="str">
        <f ca="1">IFERROR(VLOOKUP(ROWS($H$3:H907),E:F,2,0),"")</f>
        <v/>
      </c>
    </row>
    <row r="908" spans="1:8" x14ac:dyDescent="0.25">
      <c r="A908" s="54">
        <v>5021303003</v>
      </c>
      <c r="B908" s="54">
        <v>50213030</v>
      </c>
      <c r="C908" s="54">
        <f>RIGHT(Table1[[#This Row],[UACS]],2)*1</f>
        <v>3</v>
      </c>
      <c r="D908" s="54">
        <v>50213030</v>
      </c>
      <c r="E908" s="54">
        <f ca="1">IF(ISNUMBER(SEARCH($I$1,F908)),MAX($E$2:E907)+1,0)</f>
        <v>0</v>
      </c>
      <c r="F908" s="56" t="s">
        <v>984</v>
      </c>
      <c r="H908" s="55" t="str">
        <f ca="1">IFERROR(VLOOKUP(ROWS($H$3:H908),E:F,2,0),"")</f>
        <v/>
      </c>
    </row>
    <row r="909" spans="1:8" x14ac:dyDescent="0.25">
      <c r="A909" s="54">
        <v>5021303004</v>
      </c>
      <c r="B909" s="54">
        <v>50213030</v>
      </c>
      <c r="C909" s="54">
        <f>RIGHT(Table1[[#This Row],[UACS]],2)*1</f>
        <v>4</v>
      </c>
      <c r="D909" s="54">
        <v>50213030</v>
      </c>
      <c r="E909" s="54">
        <f ca="1">IF(ISNUMBER(SEARCH($I$1,F909)),MAX($E$2:E908)+1,0)</f>
        <v>0</v>
      </c>
      <c r="F909" s="56" t="s">
        <v>985</v>
      </c>
      <c r="H909" s="55" t="str">
        <f ca="1">IFERROR(VLOOKUP(ROWS($H$3:H909),E:F,2,0),"")</f>
        <v/>
      </c>
    </row>
    <row r="910" spans="1:8" x14ac:dyDescent="0.25">
      <c r="A910" s="54">
        <v>5021303005</v>
      </c>
      <c r="B910" s="54">
        <v>50213030</v>
      </c>
      <c r="C910" s="54">
        <f>RIGHT(Table1[[#This Row],[UACS]],2)*1</f>
        <v>5</v>
      </c>
      <c r="D910" s="54">
        <v>50213030</v>
      </c>
      <c r="E910" s="54">
        <f ca="1">IF(ISNUMBER(SEARCH($I$1,F910)),MAX($E$2:E909)+1,0)</f>
        <v>0</v>
      </c>
      <c r="F910" s="56" t="s">
        <v>986</v>
      </c>
      <c r="H910" s="55" t="str">
        <f ca="1">IFERROR(VLOOKUP(ROWS($H$3:H910),E:F,2,0),"")</f>
        <v/>
      </c>
    </row>
    <row r="911" spans="1:8" x14ac:dyDescent="0.25">
      <c r="A911" s="54">
        <v>5021303006</v>
      </c>
      <c r="B911" s="54">
        <v>50213030</v>
      </c>
      <c r="C911" s="54">
        <f>RIGHT(Table1[[#This Row],[UACS]],2)*1</f>
        <v>6</v>
      </c>
      <c r="D911" s="54">
        <v>50213030</v>
      </c>
      <c r="E911" s="54">
        <f ca="1">IF(ISNUMBER(SEARCH($I$1,F911)),MAX($E$2:E910)+1,0)</f>
        <v>0</v>
      </c>
      <c r="F911" s="56" t="s">
        <v>987</v>
      </c>
      <c r="H911" s="55" t="str">
        <f ca="1">IFERROR(VLOOKUP(ROWS($H$3:H911),E:F,2,0),"")</f>
        <v/>
      </c>
    </row>
    <row r="912" spans="1:8" x14ac:dyDescent="0.25">
      <c r="A912" s="54">
        <v>5021303007</v>
      </c>
      <c r="B912" s="54">
        <v>50213030</v>
      </c>
      <c r="C912" s="54">
        <f>RIGHT(Table1[[#This Row],[UACS]],2)*1</f>
        <v>7</v>
      </c>
      <c r="D912" s="54">
        <v>50213030</v>
      </c>
      <c r="E912" s="54">
        <f ca="1">IF(ISNUMBER(SEARCH($I$1,F912)),MAX($E$2:E911)+1,0)</f>
        <v>0</v>
      </c>
      <c r="F912" s="56" t="s">
        <v>988</v>
      </c>
      <c r="H912" s="55" t="str">
        <f ca="1">IFERROR(VLOOKUP(ROWS($H$3:H912),E:F,2,0),"")</f>
        <v/>
      </c>
    </row>
    <row r="913" spans="1:8" x14ac:dyDescent="0.25">
      <c r="A913" s="54">
        <v>5021303008</v>
      </c>
      <c r="B913" s="54">
        <v>50213030</v>
      </c>
      <c r="C913" s="54">
        <f>RIGHT(Table1[[#This Row],[UACS]],2)*1</f>
        <v>8</v>
      </c>
      <c r="D913" s="54">
        <v>50213030</v>
      </c>
      <c r="E913" s="54">
        <f ca="1">IF(ISNUMBER(SEARCH($I$1,F913)),MAX($E$2:E912)+1,0)</f>
        <v>0</v>
      </c>
      <c r="F913" s="56" t="s">
        <v>989</v>
      </c>
      <c r="H913" s="55" t="str">
        <f ca="1">IFERROR(VLOOKUP(ROWS($H$3:H913),E:F,2,0),"")</f>
        <v/>
      </c>
    </row>
    <row r="914" spans="1:8" x14ac:dyDescent="0.25">
      <c r="A914" s="54">
        <v>5021303009</v>
      </c>
      <c r="B914" s="54">
        <v>50213030</v>
      </c>
      <c r="C914" s="54">
        <f>RIGHT(Table1[[#This Row],[UACS]],2)*1</f>
        <v>9</v>
      </c>
      <c r="D914" s="54">
        <v>50213030</v>
      </c>
      <c r="E914" s="54">
        <f ca="1">IF(ISNUMBER(SEARCH($I$1,F914)),MAX($E$2:E913)+1,0)</f>
        <v>0</v>
      </c>
      <c r="F914" s="56" t="s">
        <v>990</v>
      </c>
      <c r="H914" s="55" t="str">
        <f ca="1">IFERROR(VLOOKUP(ROWS($H$3:H914),E:F,2,0),"")</f>
        <v/>
      </c>
    </row>
    <row r="915" spans="1:8" x14ac:dyDescent="0.25">
      <c r="A915" s="54">
        <v>5021303010</v>
      </c>
      <c r="B915" s="54">
        <v>50213030</v>
      </c>
      <c r="C915" s="54">
        <f>RIGHT(Table1[[#This Row],[UACS]],2)*1</f>
        <v>10</v>
      </c>
      <c r="D915" s="54">
        <v>50213030</v>
      </c>
      <c r="E915" s="54">
        <f ca="1">IF(ISNUMBER(SEARCH($I$1,F915)),MAX($E$2:E914)+1,0)</f>
        <v>0</v>
      </c>
      <c r="F915" s="56" t="s">
        <v>991</v>
      </c>
      <c r="H915" s="55" t="str">
        <f ca="1">IFERROR(VLOOKUP(ROWS($H$3:H915),E:F,2,0),"")</f>
        <v/>
      </c>
    </row>
    <row r="916" spans="1:8" x14ac:dyDescent="0.25">
      <c r="A916" s="54">
        <v>5021303099</v>
      </c>
      <c r="B916" s="54">
        <v>50213030</v>
      </c>
      <c r="C916" s="54">
        <f>RIGHT(Table1[[#This Row],[UACS]],2)*1</f>
        <v>99</v>
      </c>
      <c r="D916" s="54">
        <v>50213030</v>
      </c>
      <c r="E916" s="54">
        <f ca="1">IF(ISNUMBER(SEARCH($I$1,F916)),MAX($E$2:E915)+1,0)</f>
        <v>0</v>
      </c>
      <c r="F916" s="56" t="s">
        <v>992</v>
      </c>
      <c r="H916" s="55" t="str">
        <f ca="1">IFERROR(VLOOKUP(ROWS($H$3:H916),E:F,2,0),"")</f>
        <v/>
      </c>
    </row>
    <row r="917" spans="1:8" x14ac:dyDescent="0.25">
      <c r="A917" s="54">
        <v>5021304001</v>
      </c>
      <c r="B917" s="54">
        <v>50213040</v>
      </c>
      <c r="C917" s="54">
        <f>RIGHT(Table1[[#This Row],[UACS]],2)*1</f>
        <v>1</v>
      </c>
      <c r="D917" s="54">
        <v>50213040</v>
      </c>
      <c r="E917" s="54">
        <f ca="1">IF(ISNUMBER(SEARCH($I$1,F917)),MAX($E$2:E916)+1,0)</f>
        <v>0</v>
      </c>
      <c r="F917" s="56" t="s">
        <v>993</v>
      </c>
      <c r="H917" s="55" t="str">
        <f ca="1">IFERROR(VLOOKUP(ROWS($H$3:H917),E:F,2,0),"")</f>
        <v/>
      </c>
    </row>
    <row r="918" spans="1:8" x14ac:dyDescent="0.25">
      <c r="A918" s="54">
        <v>5021304002</v>
      </c>
      <c r="B918" s="54">
        <v>50213040</v>
      </c>
      <c r="C918" s="54">
        <f>RIGHT(Table1[[#This Row],[UACS]],2)*1</f>
        <v>2</v>
      </c>
      <c r="D918" s="54">
        <v>50213040</v>
      </c>
      <c r="E918" s="54">
        <f ca="1">IF(ISNUMBER(SEARCH($I$1,F918)),MAX($E$2:E917)+1,0)</f>
        <v>0</v>
      </c>
      <c r="F918" s="56" t="s">
        <v>994</v>
      </c>
      <c r="H918" s="55" t="str">
        <f ca="1">IFERROR(VLOOKUP(ROWS($H$3:H918),E:F,2,0),"")</f>
        <v/>
      </c>
    </row>
    <row r="919" spans="1:8" x14ac:dyDescent="0.25">
      <c r="A919" s="54">
        <v>5021304003</v>
      </c>
      <c r="B919" s="54">
        <v>50213040</v>
      </c>
      <c r="C919" s="54">
        <f>RIGHT(Table1[[#This Row],[UACS]],2)*1</f>
        <v>3</v>
      </c>
      <c r="D919" s="54">
        <v>50213040</v>
      </c>
      <c r="E919" s="54">
        <f ca="1">IF(ISNUMBER(SEARCH($I$1,F919)),MAX($E$2:E918)+1,0)</f>
        <v>0</v>
      </c>
      <c r="F919" s="56" t="s">
        <v>995</v>
      </c>
      <c r="H919" s="55" t="str">
        <f ca="1">IFERROR(VLOOKUP(ROWS($H$3:H919),E:F,2,0),"")</f>
        <v/>
      </c>
    </row>
    <row r="920" spans="1:8" x14ac:dyDescent="0.25">
      <c r="A920" s="54">
        <v>5021304004</v>
      </c>
      <c r="B920" s="54">
        <v>50213040</v>
      </c>
      <c r="C920" s="54">
        <f>RIGHT(Table1[[#This Row],[UACS]],2)*1</f>
        <v>4</v>
      </c>
      <c r="D920" s="54">
        <v>50213040</v>
      </c>
      <c r="E920" s="54">
        <f ca="1">IF(ISNUMBER(SEARCH($I$1,F920)),MAX($E$2:E919)+1,0)</f>
        <v>0</v>
      </c>
      <c r="F920" s="56" t="s">
        <v>996</v>
      </c>
      <c r="H920" s="55" t="str">
        <f ca="1">IFERROR(VLOOKUP(ROWS($H$3:H920),E:F,2,0),"")</f>
        <v/>
      </c>
    </row>
    <row r="921" spans="1:8" x14ac:dyDescent="0.25">
      <c r="A921" s="54">
        <v>5021304005</v>
      </c>
      <c r="B921" s="54">
        <v>50213040</v>
      </c>
      <c r="C921" s="54">
        <f>RIGHT(Table1[[#This Row],[UACS]],2)*1</f>
        <v>5</v>
      </c>
      <c r="D921" s="54">
        <v>50213040</v>
      </c>
      <c r="E921" s="54">
        <f ca="1">IF(ISNUMBER(SEARCH($I$1,F921)),MAX($E$2:E920)+1,0)</f>
        <v>0</v>
      </c>
      <c r="F921" s="56" t="s">
        <v>997</v>
      </c>
      <c r="H921" s="55" t="str">
        <f ca="1">IFERROR(VLOOKUP(ROWS($H$3:H921),E:F,2,0),"")</f>
        <v/>
      </c>
    </row>
    <row r="922" spans="1:8" x14ac:dyDescent="0.25">
      <c r="A922" s="54">
        <v>5021304006</v>
      </c>
      <c r="B922" s="54">
        <v>50213040</v>
      </c>
      <c r="C922" s="54">
        <f>RIGHT(Table1[[#This Row],[UACS]],2)*1</f>
        <v>6</v>
      </c>
      <c r="D922" s="54">
        <v>50213040</v>
      </c>
      <c r="E922" s="54">
        <f ca="1">IF(ISNUMBER(SEARCH($I$1,F922)),MAX($E$2:E921)+1,0)</f>
        <v>0</v>
      </c>
      <c r="F922" s="56" t="s">
        <v>998</v>
      </c>
      <c r="H922" s="55" t="str">
        <f ca="1">IFERROR(VLOOKUP(ROWS($H$3:H922),E:F,2,0),"")</f>
        <v/>
      </c>
    </row>
    <row r="923" spans="1:8" x14ac:dyDescent="0.25">
      <c r="A923" s="54">
        <v>5021304099</v>
      </c>
      <c r="B923" s="54">
        <v>50213040</v>
      </c>
      <c r="C923" s="54">
        <f>RIGHT(Table1[[#This Row],[UACS]],2)*1</f>
        <v>99</v>
      </c>
      <c r="D923" s="54">
        <v>50213040</v>
      </c>
      <c r="E923" s="54">
        <f ca="1">IF(ISNUMBER(SEARCH($I$1,F923)),MAX($E$2:E922)+1,0)</f>
        <v>0</v>
      </c>
      <c r="F923" s="56" t="s">
        <v>999</v>
      </c>
      <c r="H923" s="55" t="str">
        <f ca="1">IFERROR(VLOOKUP(ROWS($H$3:H923),E:F,2,0),"")</f>
        <v/>
      </c>
    </row>
    <row r="924" spans="1:8" x14ac:dyDescent="0.25">
      <c r="A924" s="54">
        <v>5021305001</v>
      </c>
      <c r="B924" s="54">
        <v>50213050</v>
      </c>
      <c r="C924" s="54">
        <f>RIGHT(Table1[[#This Row],[UACS]],2)*1</f>
        <v>1</v>
      </c>
      <c r="D924" s="54">
        <v>50213050</v>
      </c>
      <c r="E924" s="54">
        <f ca="1">IF(ISNUMBER(SEARCH($I$1,F924)),MAX($E$2:E923)+1,0)</f>
        <v>0</v>
      </c>
      <c r="F924" s="56" t="s">
        <v>1000</v>
      </c>
      <c r="H924" s="55" t="str">
        <f ca="1">IFERROR(VLOOKUP(ROWS($H$3:H924),E:F,2,0),"")</f>
        <v/>
      </c>
    </row>
    <row r="925" spans="1:8" x14ac:dyDescent="0.25">
      <c r="A925" s="54">
        <v>5021305002</v>
      </c>
      <c r="B925" s="54">
        <v>50213050</v>
      </c>
      <c r="C925" s="54">
        <f>RIGHT(Table1[[#This Row],[UACS]],2)*1</f>
        <v>2</v>
      </c>
      <c r="D925" s="54">
        <v>50213050</v>
      </c>
      <c r="E925" s="54">
        <f ca="1">IF(ISNUMBER(SEARCH($I$1,F925)),MAX($E$2:E924)+1,0)</f>
        <v>0</v>
      </c>
      <c r="F925" s="56" t="s">
        <v>1001</v>
      </c>
      <c r="H925" s="55" t="str">
        <f ca="1">IFERROR(VLOOKUP(ROWS($H$3:H925),E:F,2,0),"")</f>
        <v/>
      </c>
    </row>
    <row r="926" spans="1:8" x14ac:dyDescent="0.25">
      <c r="A926" s="54">
        <v>5021305003</v>
      </c>
      <c r="B926" s="54">
        <v>50213050</v>
      </c>
      <c r="C926" s="54">
        <f>RIGHT(Table1[[#This Row],[UACS]],2)*1</f>
        <v>3</v>
      </c>
      <c r="D926" s="54">
        <v>50213050</v>
      </c>
      <c r="E926" s="54">
        <f ca="1">IF(ISNUMBER(SEARCH($I$1,F926)),MAX($E$2:E925)+1,0)</f>
        <v>0</v>
      </c>
      <c r="F926" s="56" t="s">
        <v>1002</v>
      </c>
      <c r="H926" s="55" t="str">
        <f ca="1">IFERROR(VLOOKUP(ROWS($H$3:H926),E:F,2,0),"")</f>
        <v/>
      </c>
    </row>
    <row r="927" spans="1:8" x14ac:dyDescent="0.25">
      <c r="A927" s="54">
        <v>5021305004</v>
      </c>
      <c r="B927" s="54">
        <v>50213050</v>
      </c>
      <c r="C927" s="54">
        <f>RIGHT(Table1[[#This Row],[UACS]],2)*1</f>
        <v>4</v>
      </c>
      <c r="D927" s="54">
        <v>50213050</v>
      </c>
      <c r="E927" s="54">
        <f ca="1">IF(ISNUMBER(SEARCH($I$1,F927)),MAX($E$2:E926)+1,0)</f>
        <v>0</v>
      </c>
      <c r="F927" s="56" t="s">
        <v>1003</v>
      </c>
      <c r="H927" s="55" t="str">
        <f ca="1">IFERROR(VLOOKUP(ROWS($H$3:H927),E:F,2,0),"")</f>
        <v/>
      </c>
    </row>
    <row r="928" spans="1:8" x14ac:dyDescent="0.25">
      <c r="A928" s="54">
        <v>5021305005</v>
      </c>
      <c r="B928" s="54">
        <v>50213050</v>
      </c>
      <c r="C928" s="54">
        <f>RIGHT(Table1[[#This Row],[UACS]],2)*1</f>
        <v>5</v>
      </c>
      <c r="D928" s="54">
        <v>50213050</v>
      </c>
      <c r="E928" s="54">
        <f ca="1">IF(ISNUMBER(SEARCH($I$1,F928)),MAX($E$2:E927)+1,0)</f>
        <v>0</v>
      </c>
      <c r="F928" s="56" t="s">
        <v>1004</v>
      </c>
      <c r="H928" s="55" t="str">
        <f ca="1">IFERROR(VLOOKUP(ROWS($H$3:H928),E:F,2,0),"")</f>
        <v/>
      </c>
    </row>
    <row r="929" spans="1:8" x14ac:dyDescent="0.25">
      <c r="A929" s="54">
        <v>5021305006</v>
      </c>
      <c r="B929" s="54">
        <v>50213050</v>
      </c>
      <c r="C929" s="54">
        <f>RIGHT(Table1[[#This Row],[UACS]],2)*1</f>
        <v>6</v>
      </c>
      <c r="D929" s="54">
        <v>50213050</v>
      </c>
      <c r="E929" s="54">
        <f ca="1">IF(ISNUMBER(SEARCH($I$1,F929)),MAX($E$2:E928)+1,0)</f>
        <v>0</v>
      </c>
      <c r="F929" s="56" t="s">
        <v>1005</v>
      </c>
      <c r="H929" s="55" t="str">
        <f ca="1">IFERROR(VLOOKUP(ROWS($H$3:H929),E:F,2,0),"")</f>
        <v/>
      </c>
    </row>
    <row r="930" spans="1:8" x14ac:dyDescent="0.25">
      <c r="A930" s="54">
        <v>5021305007</v>
      </c>
      <c r="B930" s="54">
        <v>50213050</v>
      </c>
      <c r="C930" s="54">
        <f>RIGHT(Table1[[#This Row],[UACS]],2)*1</f>
        <v>7</v>
      </c>
      <c r="D930" s="54">
        <v>50213050</v>
      </c>
      <c r="E930" s="54">
        <f ca="1">IF(ISNUMBER(SEARCH($I$1,F930)),MAX($E$2:E929)+1,0)</f>
        <v>0</v>
      </c>
      <c r="F930" s="56" t="s">
        <v>1006</v>
      </c>
      <c r="H930" s="55" t="str">
        <f ca="1">IFERROR(VLOOKUP(ROWS($H$3:H930),E:F,2,0),"")</f>
        <v/>
      </c>
    </row>
    <row r="931" spans="1:8" x14ac:dyDescent="0.25">
      <c r="A931" s="54">
        <v>5021305008</v>
      </c>
      <c r="B931" s="54">
        <v>50213050</v>
      </c>
      <c r="C931" s="54">
        <f>RIGHT(Table1[[#This Row],[UACS]],2)*1</f>
        <v>8</v>
      </c>
      <c r="D931" s="54">
        <v>50213050</v>
      </c>
      <c r="E931" s="54">
        <f ca="1">IF(ISNUMBER(SEARCH($I$1,F931)),MAX($E$2:E930)+1,0)</f>
        <v>0</v>
      </c>
      <c r="F931" s="56" t="s">
        <v>1007</v>
      </c>
      <c r="H931" s="55" t="str">
        <f ca="1">IFERROR(VLOOKUP(ROWS($H$3:H931),E:F,2,0),"")</f>
        <v/>
      </c>
    </row>
    <row r="932" spans="1:8" x14ac:dyDescent="0.25">
      <c r="A932" s="54">
        <v>5021305009</v>
      </c>
      <c r="B932" s="54">
        <v>50213050</v>
      </c>
      <c r="C932" s="54">
        <f>RIGHT(Table1[[#This Row],[UACS]],2)*1</f>
        <v>9</v>
      </c>
      <c r="D932" s="54">
        <v>50213050</v>
      </c>
      <c r="E932" s="54">
        <f ca="1">IF(ISNUMBER(SEARCH($I$1,F932)),MAX($E$2:E931)+1,0)</f>
        <v>0</v>
      </c>
      <c r="F932" s="56" t="s">
        <v>1008</v>
      </c>
      <c r="H932" s="55" t="str">
        <f ca="1">IFERROR(VLOOKUP(ROWS($H$3:H932),E:F,2,0),"")</f>
        <v/>
      </c>
    </row>
    <row r="933" spans="1:8" x14ac:dyDescent="0.25">
      <c r="A933" s="54">
        <v>5021305010</v>
      </c>
      <c r="B933" s="54">
        <v>50213050</v>
      </c>
      <c r="C933" s="54">
        <f>RIGHT(Table1[[#This Row],[UACS]],2)*1</f>
        <v>10</v>
      </c>
      <c r="D933" s="54">
        <v>50213050</v>
      </c>
      <c r="E933" s="54">
        <f ca="1">IF(ISNUMBER(SEARCH($I$1,F933)),MAX($E$2:E932)+1,0)</f>
        <v>0</v>
      </c>
      <c r="F933" s="56" t="s">
        <v>1009</v>
      </c>
      <c r="H933" s="55" t="str">
        <f ca="1">IFERROR(VLOOKUP(ROWS($H$3:H933),E:F,2,0),"")</f>
        <v/>
      </c>
    </row>
    <row r="934" spans="1:8" x14ac:dyDescent="0.25">
      <c r="A934" s="54">
        <v>5021305011</v>
      </c>
      <c r="B934" s="54">
        <v>50213050</v>
      </c>
      <c r="C934" s="54">
        <f>RIGHT(Table1[[#This Row],[UACS]],2)*1</f>
        <v>11</v>
      </c>
      <c r="D934" s="54">
        <v>50213050</v>
      </c>
      <c r="E934" s="54">
        <f ca="1">IF(ISNUMBER(SEARCH($I$1,F934)),MAX($E$2:E933)+1,0)</f>
        <v>0</v>
      </c>
      <c r="F934" s="56" t="s">
        <v>1010</v>
      </c>
      <c r="H934" s="55" t="str">
        <f ca="1">IFERROR(VLOOKUP(ROWS($H$3:H934),E:F,2,0),"")</f>
        <v/>
      </c>
    </row>
    <row r="935" spans="1:8" x14ac:dyDescent="0.25">
      <c r="A935" s="54">
        <v>5021305012</v>
      </c>
      <c r="B935" s="54">
        <v>50213050</v>
      </c>
      <c r="C935" s="54">
        <f>RIGHT(Table1[[#This Row],[UACS]],2)*1</f>
        <v>12</v>
      </c>
      <c r="D935" s="54">
        <v>50213050</v>
      </c>
      <c r="E935" s="54">
        <f ca="1">IF(ISNUMBER(SEARCH($I$1,F935)),MAX($E$2:E934)+1,0)</f>
        <v>0</v>
      </c>
      <c r="F935" s="56" t="s">
        <v>1011</v>
      </c>
      <c r="H935" s="55" t="str">
        <f ca="1">IFERROR(VLOOKUP(ROWS($H$3:H935),E:F,2,0),"")</f>
        <v/>
      </c>
    </row>
    <row r="936" spans="1:8" x14ac:dyDescent="0.25">
      <c r="A936" s="54">
        <v>5021305013</v>
      </c>
      <c r="B936" s="54">
        <v>50213050</v>
      </c>
      <c r="C936" s="54">
        <f>RIGHT(Table1[[#This Row],[UACS]],2)*1</f>
        <v>13</v>
      </c>
      <c r="D936" s="54">
        <v>50213050</v>
      </c>
      <c r="E936" s="54">
        <f ca="1">IF(ISNUMBER(SEARCH($I$1,F936)),MAX($E$2:E935)+1,0)</f>
        <v>0</v>
      </c>
      <c r="F936" s="56" t="s">
        <v>1012</v>
      </c>
      <c r="H936" s="55" t="str">
        <f ca="1">IFERROR(VLOOKUP(ROWS($H$3:H936),E:F,2,0),"")</f>
        <v/>
      </c>
    </row>
    <row r="937" spans="1:8" x14ac:dyDescent="0.25">
      <c r="A937" s="54">
        <v>5021305014</v>
      </c>
      <c r="B937" s="54">
        <v>50213050</v>
      </c>
      <c r="C937" s="54">
        <f>RIGHT(Table1[[#This Row],[UACS]],2)*1</f>
        <v>14</v>
      </c>
      <c r="D937" s="54">
        <v>50213050</v>
      </c>
      <c r="E937" s="54">
        <f ca="1">IF(ISNUMBER(SEARCH($I$1,F937)),MAX($E$2:E936)+1,0)</f>
        <v>0</v>
      </c>
      <c r="F937" s="56" t="s">
        <v>1013</v>
      </c>
      <c r="H937" s="55" t="str">
        <f ca="1">IFERROR(VLOOKUP(ROWS($H$3:H937),E:F,2,0),"")</f>
        <v/>
      </c>
    </row>
    <row r="938" spans="1:8" x14ac:dyDescent="0.25">
      <c r="A938" s="54">
        <v>5021305099</v>
      </c>
      <c r="B938" s="54">
        <v>50213050</v>
      </c>
      <c r="C938" s="54">
        <f>RIGHT(Table1[[#This Row],[UACS]],2)*1</f>
        <v>99</v>
      </c>
      <c r="D938" s="54">
        <v>50213050</v>
      </c>
      <c r="E938" s="54">
        <f ca="1">IF(ISNUMBER(SEARCH($I$1,F938)),MAX($E$2:E937)+1,0)</f>
        <v>0</v>
      </c>
      <c r="F938" s="56" t="s">
        <v>1014</v>
      </c>
      <c r="H938" s="55" t="str">
        <f ca="1">IFERROR(VLOOKUP(ROWS($H$3:H938),E:F,2,0),"")</f>
        <v/>
      </c>
    </row>
    <row r="939" spans="1:8" x14ac:dyDescent="0.25">
      <c r="A939" s="54">
        <v>5021306001</v>
      </c>
      <c r="B939" s="54">
        <v>50213060</v>
      </c>
      <c r="C939" s="54">
        <f>RIGHT(Table1[[#This Row],[UACS]],2)*1</f>
        <v>1</v>
      </c>
      <c r="D939" s="54">
        <v>50213060</v>
      </c>
      <c r="E939" s="54">
        <f ca="1">IF(ISNUMBER(SEARCH($I$1,F939)),MAX($E$2:E938)+1,0)</f>
        <v>0</v>
      </c>
      <c r="F939" s="56" t="s">
        <v>1015</v>
      </c>
      <c r="H939" s="55" t="str">
        <f ca="1">IFERROR(VLOOKUP(ROWS($H$3:H939),E:F,2,0),"")</f>
        <v/>
      </c>
    </row>
    <row r="940" spans="1:8" x14ac:dyDescent="0.25">
      <c r="A940" s="54">
        <v>5021306002</v>
      </c>
      <c r="B940" s="54">
        <v>50213060</v>
      </c>
      <c r="C940" s="54">
        <f>RIGHT(Table1[[#This Row],[UACS]],2)*1</f>
        <v>2</v>
      </c>
      <c r="D940" s="54">
        <v>50213060</v>
      </c>
      <c r="E940" s="54">
        <f ca="1">IF(ISNUMBER(SEARCH($I$1,F940)),MAX($E$2:E939)+1,0)</f>
        <v>0</v>
      </c>
      <c r="F940" s="56" t="s">
        <v>1016</v>
      </c>
      <c r="H940" s="55" t="str">
        <f ca="1">IFERROR(VLOOKUP(ROWS($H$3:H940),E:F,2,0),"")</f>
        <v/>
      </c>
    </row>
    <row r="941" spans="1:8" x14ac:dyDescent="0.25">
      <c r="A941" s="54">
        <v>5021306003</v>
      </c>
      <c r="B941" s="54">
        <v>50213060</v>
      </c>
      <c r="C941" s="54">
        <f>RIGHT(Table1[[#This Row],[UACS]],2)*1</f>
        <v>3</v>
      </c>
      <c r="D941" s="54">
        <v>50213060</v>
      </c>
      <c r="E941" s="54">
        <f ca="1">IF(ISNUMBER(SEARCH($I$1,F941)),MAX($E$2:E940)+1,0)</f>
        <v>0</v>
      </c>
      <c r="F941" s="56" t="s">
        <v>1017</v>
      </c>
      <c r="H941" s="55" t="str">
        <f ca="1">IFERROR(VLOOKUP(ROWS($H$3:H941),E:F,2,0),"")</f>
        <v/>
      </c>
    </row>
    <row r="942" spans="1:8" x14ac:dyDescent="0.25">
      <c r="A942" s="54">
        <v>5021306004</v>
      </c>
      <c r="B942" s="54">
        <v>50213060</v>
      </c>
      <c r="C942" s="54">
        <f>RIGHT(Table1[[#This Row],[UACS]],2)*1</f>
        <v>4</v>
      </c>
      <c r="D942" s="54">
        <v>50213060</v>
      </c>
      <c r="E942" s="54">
        <f ca="1">IF(ISNUMBER(SEARCH($I$1,F942)),MAX($E$2:E941)+1,0)</f>
        <v>0</v>
      </c>
      <c r="F942" s="56" t="s">
        <v>1018</v>
      </c>
      <c r="H942" s="55" t="str">
        <f ca="1">IFERROR(VLOOKUP(ROWS($H$3:H942),E:F,2,0),"")</f>
        <v/>
      </c>
    </row>
    <row r="943" spans="1:8" x14ac:dyDescent="0.25">
      <c r="A943" s="54">
        <v>5021306099</v>
      </c>
      <c r="B943" s="54">
        <v>50213060</v>
      </c>
      <c r="C943" s="54">
        <f>RIGHT(Table1[[#This Row],[UACS]],2)*1</f>
        <v>99</v>
      </c>
      <c r="D943" s="54">
        <v>50213060</v>
      </c>
      <c r="E943" s="54">
        <f ca="1">IF(ISNUMBER(SEARCH($I$1,F943)),MAX($E$2:E942)+1,0)</f>
        <v>0</v>
      </c>
      <c r="F943" s="56" t="s">
        <v>1019</v>
      </c>
      <c r="H943" s="55" t="str">
        <f ca="1">IFERROR(VLOOKUP(ROWS($H$3:H943),E:F,2,0),"")</f>
        <v/>
      </c>
    </row>
    <row r="944" spans="1:8" x14ac:dyDescent="0.25">
      <c r="A944" s="54">
        <v>5021307000</v>
      </c>
      <c r="B944" s="54">
        <v>50213070</v>
      </c>
      <c r="C944" s="54">
        <f>RIGHT(Table1[[#This Row],[UACS]],2)*1</f>
        <v>0</v>
      </c>
      <c r="D944" s="54">
        <v>50213070</v>
      </c>
      <c r="E944" s="54">
        <f ca="1">IF(ISNUMBER(SEARCH($I$1,F944)),MAX($E$2:E943)+1,0)</f>
        <v>0</v>
      </c>
      <c r="F944" s="56" t="s">
        <v>1020</v>
      </c>
      <c r="H944" s="55" t="str">
        <f ca="1">IFERROR(VLOOKUP(ROWS($H$3:H944),E:F,2,0),"")</f>
        <v/>
      </c>
    </row>
    <row r="945" spans="1:8" x14ac:dyDescent="0.25">
      <c r="A945" s="54">
        <v>5021308001</v>
      </c>
      <c r="B945" s="54">
        <v>50213080</v>
      </c>
      <c r="C945" s="54">
        <f>RIGHT(Table1[[#This Row],[UACS]],2)*1</f>
        <v>1</v>
      </c>
      <c r="D945" s="54">
        <v>50213080</v>
      </c>
      <c r="E945" s="54">
        <f ca="1">IF(ISNUMBER(SEARCH($I$1,F945)),MAX($E$2:E944)+1,0)</f>
        <v>0</v>
      </c>
      <c r="F945" s="56" t="s">
        <v>1021</v>
      </c>
      <c r="H945" s="55" t="str">
        <f ca="1">IFERROR(VLOOKUP(ROWS($H$3:H945),E:F,2,0),"")</f>
        <v/>
      </c>
    </row>
    <row r="946" spans="1:8" x14ac:dyDescent="0.25">
      <c r="A946" s="54">
        <v>5021308002</v>
      </c>
      <c r="B946" s="54">
        <v>50213080</v>
      </c>
      <c r="C946" s="54">
        <f>RIGHT(Table1[[#This Row],[UACS]],2)*1</f>
        <v>2</v>
      </c>
      <c r="D946" s="54">
        <v>50213080</v>
      </c>
      <c r="E946" s="54">
        <f ca="1">IF(ISNUMBER(SEARCH($I$1,F946)),MAX($E$2:E945)+1,0)</f>
        <v>0</v>
      </c>
      <c r="F946" s="56" t="s">
        <v>1022</v>
      </c>
      <c r="H946" s="55" t="str">
        <f ca="1">IFERROR(VLOOKUP(ROWS($H$3:H946),E:F,2,0),"")</f>
        <v/>
      </c>
    </row>
    <row r="947" spans="1:8" x14ac:dyDescent="0.25">
      <c r="A947" s="54">
        <v>5021308003</v>
      </c>
      <c r="B947" s="54">
        <v>50213080</v>
      </c>
      <c r="C947" s="54">
        <f>RIGHT(Table1[[#This Row],[UACS]],2)*1</f>
        <v>3</v>
      </c>
      <c r="D947" s="54">
        <v>50213080</v>
      </c>
      <c r="E947" s="54">
        <f ca="1">IF(ISNUMBER(SEARCH($I$1,F947)),MAX($E$2:E946)+1,0)</f>
        <v>0</v>
      </c>
      <c r="F947" s="56" t="s">
        <v>1023</v>
      </c>
      <c r="H947" s="55" t="str">
        <f ca="1">IFERROR(VLOOKUP(ROWS($H$3:H947),E:F,2,0),"")</f>
        <v/>
      </c>
    </row>
    <row r="948" spans="1:8" x14ac:dyDescent="0.25">
      <c r="A948" s="54">
        <v>5021308099</v>
      </c>
      <c r="B948" s="54">
        <v>50213080</v>
      </c>
      <c r="C948" s="54">
        <f>RIGHT(Table1[[#This Row],[UACS]],2)*1</f>
        <v>99</v>
      </c>
      <c r="D948" s="54">
        <v>50213080</v>
      </c>
      <c r="E948" s="54">
        <f ca="1">IF(ISNUMBER(SEARCH($I$1,F948)),MAX($E$2:E947)+1,0)</f>
        <v>0</v>
      </c>
      <c r="F948" s="56" t="s">
        <v>1024</v>
      </c>
      <c r="H948" s="55" t="str">
        <f ca="1">IFERROR(VLOOKUP(ROWS($H$3:H948),E:F,2,0),"")</f>
        <v/>
      </c>
    </row>
    <row r="949" spans="1:8" x14ac:dyDescent="0.25">
      <c r="A949" s="54">
        <v>5021309001</v>
      </c>
      <c r="B949" s="54">
        <v>50213090</v>
      </c>
      <c r="C949" s="54">
        <f>RIGHT(Table1[[#This Row],[UACS]],2)*1</f>
        <v>1</v>
      </c>
      <c r="D949" s="54">
        <v>50213090</v>
      </c>
      <c r="E949" s="54">
        <f ca="1">IF(ISNUMBER(SEARCH($I$1,F949)),MAX($E$2:E948)+1,0)</f>
        <v>0</v>
      </c>
      <c r="F949" s="56" t="s">
        <v>1025</v>
      </c>
      <c r="H949" s="55" t="str">
        <f ca="1">IFERROR(VLOOKUP(ROWS($H$3:H949),E:F,2,0),"")</f>
        <v/>
      </c>
    </row>
    <row r="950" spans="1:8" x14ac:dyDescent="0.25">
      <c r="A950" s="54">
        <v>5021309002</v>
      </c>
      <c r="B950" s="54">
        <v>50213090</v>
      </c>
      <c r="C950" s="54">
        <f>RIGHT(Table1[[#This Row],[UACS]],2)*1</f>
        <v>2</v>
      </c>
      <c r="D950" s="54">
        <v>50213090</v>
      </c>
      <c r="E950" s="54">
        <f ca="1">IF(ISNUMBER(SEARCH($I$1,F950)),MAX($E$2:E949)+1,0)</f>
        <v>0</v>
      </c>
      <c r="F950" s="56" t="s">
        <v>1026</v>
      </c>
      <c r="H950" s="55" t="str">
        <f ca="1">IFERROR(VLOOKUP(ROWS($H$3:H950),E:F,2,0),"")</f>
        <v/>
      </c>
    </row>
    <row r="951" spans="1:8" x14ac:dyDescent="0.25">
      <c r="A951" s="54">
        <v>5021309003</v>
      </c>
      <c r="B951" s="54">
        <v>50213090</v>
      </c>
      <c r="C951" s="54">
        <f>RIGHT(Table1[[#This Row],[UACS]],2)*1</f>
        <v>3</v>
      </c>
      <c r="D951" s="54">
        <v>50213090</v>
      </c>
      <c r="E951" s="54">
        <f ca="1">IF(ISNUMBER(SEARCH($I$1,F951)),MAX($E$2:E950)+1,0)</f>
        <v>0</v>
      </c>
      <c r="F951" s="56" t="s">
        <v>1027</v>
      </c>
      <c r="H951" s="55" t="str">
        <f ca="1">IFERROR(VLOOKUP(ROWS($H$3:H951),E:F,2,0),"")</f>
        <v/>
      </c>
    </row>
    <row r="952" spans="1:8" x14ac:dyDescent="0.25">
      <c r="A952" s="54">
        <v>5021310001</v>
      </c>
      <c r="B952" s="54">
        <v>50213100</v>
      </c>
      <c r="C952" s="54">
        <f>RIGHT(Table1[[#This Row],[UACS]],2)*1</f>
        <v>1</v>
      </c>
      <c r="D952" s="54">
        <v>50213100</v>
      </c>
      <c r="E952" s="54">
        <f ca="1">IF(ISNUMBER(SEARCH($I$1,F952)),MAX($E$2:E951)+1,0)</f>
        <v>0</v>
      </c>
      <c r="F952" s="56" t="s">
        <v>1028</v>
      </c>
      <c r="H952" s="55" t="str">
        <f ca="1">IFERROR(VLOOKUP(ROWS($H$3:H952),E:F,2,0),"")</f>
        <v/>
      </c>
    </row>
    <row r="953" spans="1:8" x14ac:dyDescent="0.25">
      <c r="A953" s="54">
        <v>5021310002</v>
      </c>
      <c r="B953" s="54">
        <v>50213100</v>
      </c>
      <c r="C953" s="54">
        <f>RIGHT(Table1[[#This Row],[UACS]],2)*1</f>
        <v>2</v>
      </c>
      <c r="D953" s="54">
        <v>50213100</v>
      </c>
      <c r="E953" s="54">
        <f ca="1">IF(ISNUMBER(SEARCH($I$1,F953)),MAX($E$2:E952)+1,0)</f>
        <v>0</v>
      </c>
      <c r="F953" s="56" t="s">
        <v>1029</v>
      </c>
      <c r="H953" s="55" t="str">
        <f ca="1">IFERROR(VLOOKUP(ROWS($H$3:H953),E:F,2,0),"")</f>
        <v/>
      </c>
    </row>
    <row r="954" spans="1:8" x14ac:dyDescent="0.25">
      <c r="A954" s="54">
        <v>5021310003</v>
      </c>
      <c r="B954" s="54">
        <v>50213100</v>
      </c>
      <c r="C954" s="54">
        <f>RIGHT(Table1[[#This Row],[UACS]],2)*1</f>
        <v>3</v>
      </c>
      <c r="D954" s="54">
        <v>50213100</v>
      </c>
      <c r="E954" s="54">
        <f ca="1">IF(ISNUMBER(SEARCH($I$1,F954)),MAX($E$2:E953)+1,0)</f>
        <v>0</v>
      </c>
      <c r="F954" s="56" t="s">
        <v>1030</v>
      </c>
      <c r="H954" s="55" t="str">
        <f ca="1">IFERROR(VLOOKUP(ROWS($H$3:H954),E:F,2,0),"")</f>
        <v/>
      </c>
    </row>
    <row r="955" spans="1:8" x14ac:dyDescent="0.25">
      <c r="A955" s="54">
        <v>5021321001</v>
      </c>
      <c r="B955" s="54">
        <v>50213210</v>
      </c>
      <c r="C955" s="54">
        <f>RIGHT(Table1[[#This Row],[UACS]],2)*1</f>
        <v>1</v>
      </c>
      <c r="D955" s="54">
        <v>50213210</v>
      </c>
      <c r="E955" s="54">
        <f ca="1">IF(ISNUMBER(SEARCH($I$1,F955)),MAX($E$2:E954)+1,0)</f>
        <v>0</v>
      </c>
      <c r="F955" s="56" t="s">
        <v>1031</v>
      </c>
      <c r="H955" s="55" t="str">
        <f ca="1">IFERROR(VLOOKUP(ROWS($H$3:H955),E:F,2,0),"")</f>
        <v/>
      </c>
    </row>
    <row r="956" spans="1:8" x14ac:dyDescent="0.25">
      <c r="A956" s="54">
        <v>5021321002</v>
      </c>
      <c r="B956" s="54">
        <v>50213210</v>
      </c>
      <c r="C956" s="54">
        <f>RIGHT(Table1[[#This Row],[UACS]],2)*1</f>
        <v>2</v>
      </c>
      <c r="D956" s="54">
        <v>50213210</v>
      </c>
      <c r="E956" s="54">
        <f ca="1">IF(ISNUMBER(SEARCH($I$1,F956)),MAX($E$2:E955)+1,0)</f>
        <v>0</v>
      </c>
      <c r="F956" s="56" t="s">
        <v>1032</v>
      </c>
      <c r="H956" s="55" t="str">
        <f ca="1">IFERROR(VLOOKUP(ROWS($H$3:H956),E:F,2,0),"")</f>
        <v/>
      </c>
    </row>
    <row r="957" spans="1:8" x14ac:dyDescent="0.25">
      <c r="A957" s="54">
        <v>5021321003</v>
      </c>
      <c r="B957" s="54">
        <v>50213210</v>
      </c>
      <c r="C957" s="54">
        <f>RIGHT(Table1[[#This Row],[UACS]],2)*1</f>
        <v>3</v>
      </c>
      <c r="D957" s="54">
        <v>50213210</v>
      </c>
      <c r="E957" s="54">
        <f ca="1">IF(ISNUMBER(SEARCH($I$1,F957)),MAX($E$2:E956)+1,0)</f>
        <v>0</v>
      </c>
      <c r="F957" s="56" t="s">
        <v>1033</v>
      </c>
      <c r="H957" s="55" t="str">
        <f ca="1">IFERROR(VLOOKUP(ROWS($H$3:H957),E:F,2,0),"")</f>
        <v/>
      </c>
    </row>
    <row r="958" spans="1:8" x14ac:dyDescent="0.25">
      <c r="A958" s="54">
        <v>5021321004</v>
      </c>
      <c r="B958" s="54">
        <v>50213210</v>
      </c>
      <c r="C958" s="54">
        <f>RIGHT(Table1[[#This Row],[UACS]],2)*1</f>
        <v>4</v>
      </c>
      <c r="D958" s="54">
        <v>50213210</v>
      </c>
      <c r="E958" s="54">
        <f ca="1">IF(ISNUMBER(SEARCH($I$1,F958)),MAX($E$2:E957)+1,0)</f>
        <v>0</v>
      </c>
      <c r="F958" s="56" t="s">
        <v>1034</v>
      </c>
      <c r="H958" s="55" t="str">
        <f ca="1">IFERROR(VLOOKUP(ROWS($H$3:H958),E:F,2,0),"")</f>
        <v/>
      </c>
    </row>
    <row r="959" spans="1:8" x14ac:dyDescent="0.25">
      <c r="A959" s="54">
        <v>5021321005</v>
      </c>
      <c r="B959" s="54">
        <v>50213210</v>
      </c>
      <c r="C959" s="54">
        <f>RIGHT(Table1[[#This Row],[UACS]],2)*1</f>
        <v>5</v>
      </c>
      <c r="D959" s="54">
        <v>50213210</v>
      </c>
      <c r="E959" s="54">
        <f ca="1">IF(ISNUMBER(SEARCH($I$1,F959)),MAX($E$2:E958)+1,0)</f>
        <v>0</v>
      </c>
      <c r="F959" s="56" t="s">
        <v>1035</v>
      </c>
      <c r="H959" s="55" t="str">
        <f ca="1">IFERROR(VLOOKUP(ROWS($H$3:H959),E:F,2,0),"")</f>
        <v/>
      </c>
    </row>
    <row r="960" spans="1:8" x14ac:dyDescent="0.25">
      <c r="A960" s="54">
        <v>5021321006</v>
      </c>
      <c r="B960" s="54">
        <v>50213210</v>
      </c>
      <c r="C960" s="54">
        <f>RIGHT(Table1[[#This Row],[UACS]],2)*1</f>
        <v>6</v>
      </c>
      <c r="D960" s="54">
        <v>50213210</v>
      </c>
      <c r="E960" s="54">
        <f ca="1">IF(ISNUMBER(SEARCH($I$1,F960)),MAX($E$2:E959)+1,0)</f>
        <v>0</v>
      </c>
      <c r="F960" s="56" t="s">
        <v>1036</v>
      </c>
      <c r="H960" s="55" t="str">
        <f ca="1">IFERROR(VLOOKUP(ROWS($H$3:H960),E:F,2,0),"")</f>
        <v/>
      </c>
    </row>
    <row r="961" spans="1:8" x14ac:dyDescent="0.25">
      <c r="A961" s="54">
        <v>5021321007</v>
      </c>
      <c r="B961" s="54">
        <v>50213210</v>
      </c>
      <c r="C961" s="54">
        <f>RIGHT(Table1[[#This Row],[UACS]],2)*1</f>
        <v>7</v>
      </c>
      <c r="D961" s="54">
        <v>50213210</v>
      </c>
      <c r="E961" s="54">
        <f ca="1">IF(ISNUMBER(SEARCH($I$1,F961)),MAX($E$2:E960)+1,0)</f>
        <v>0</v>
      </c>
      <c r="F961" s="56" t="s">
        <v>1037</v>
      </c>
      <c r="H961" s="55" t="str">
        <f ca="1">IFERROR(VLOOKUP(ROWS($H$3:H961),E:F,2,0),"")</f>
        <v/>
      </c>
    </row>
    <row r="962" spans="1:8" x14ac:dyDescent="0.25">
      <c r="A962" s="54">
        <v>5021321008</v>
      </c>
      <c r="B962" s="54">
        <v>50213210</v>
      </c>
      <c r="C962" s="54">
        <f>RIGHT(Table1[[#This Row],[UACS]],2)*1</f>
        <v>8</v>
      </c>
      <c r="D962" s="54">
        <v>50213210</v>
      </c>
      <c r="E962" s="54">
        <f ca="1">IF(ISNUMBER(SEARCH($I$1,F962)),MAX($E$2:E961)+1,0)</f>
        <v>0</v>
      </c>
      <c r="F962" s="56" t="s">
        <v>1038</v>
      </c>
      <c r="H962" s="55" t="str">
        <f ca="1">IFERROR(VLOOKUP(ROWS($H$3:H962),E:F,2,0),"")</f>
        <v/>
      </c>
    </row>
    <row r="963" spans="1:8" x14ac:dyDescent="0.25">
      <c r="A963" s="54">
        <v>5021321009</v>
      </c>
      <c r="B963" s="54">
        <v>50213210</v>
      </c>
      <c r="C963" s="54">
        <f>RIGHT(Table1[[#This Row],[UACS]],2)*1</f>
        <v>9</v>
      </c>
      <c r="D963" s="54">
        <v>50213210</v>
      </c>
      <c r="E963" s="54">
        <f ca="1">IF(ISNUMBER(SEARCH($I$1,F963)),MAX($E$2:E962)+1,0)</f>
        <v>0</v>
      </c>
      <c r="F963" s="56" t="s">
        <v>1039</v>
      </c>
      <c r="H963" s="55" t="str">
        <f ca="1">IFERROR(VLOOKUP(ROWS($H$3:H963),E:F,2,0),"")</f>
        <v/>
      </c>
    </row>
    <row r="964" spans="1:8" x14ac:dyDescent="0.25">
      <c r="A964" s="54">
        <v>5021321010</v>
      </c>
      <c r="B964" s="54">
        <v>50213210</v>
      </c>
      <c r="C964" s="54">
        <f>RIGHT(Table1[[#This Row],[UACS]],2)*1</f>
        <v>10</v>
      </c>
      <c r="D964" s="54">
        <v>50213210</v>
      </c>
      <c r="E964" s="54">
        <f ca="1">IF(ISNUMBER(SEARCH($I$1,F964)),MAX($E$2:E963)+1,0)</f>
        <v>0</v>
      </c>
      <c r="F964" s="56" t="s">
        <v>1040</v>
      </c>
      <c r="H964" s="55" t="str">
        <f ca="1">IFERROR(VLOOKUP(ROWS($H$3:H964),E:F,2,0),"")</f>
        <v/>
      </c>
    </row>
    <row r="965" spans="1:8" x14ac:dyDescent="0.25">
      <c r="A965" s="54">
        <v>5021321011</v>
      </c>
      <c r="B965" s="54">
        <v>50213210</v>
      </c>
      <c r="C965" s="54">
        <f>RIGHT(Table1[[#This Row],[UACS]],2)*1</f>
        <v>11</v>
      </c>
      <c r="D965" s="54">
        <v>50213210</v>
      </c>
      <c r="E965" s="54">
        <f ca="1">IF(ISNUMBER(SEARCH($I$1,F965)),MAX($E$2:E964)+1,0)</f>
        <v>0</v>
      </c>
      <c r="F965" s="56" t="s">
        <v>1041</v>
      </c>
      <c r="H965" s="55" t="str">
        <f ca="1">IFERROR(VLOOKUP(ROWS($H$3:H965),E:F,2,0),"")</f>
        <v/>
      </c>
    </row>
    <row r="966" spans="1:8" x14ac:dyDescent="0.25">
      <c r="A966" s="54">
        <v>5021321012</v>
      </c>
      <c r="B966" s="54">
        <v>50213210</v>
      </c>
      <c r="C966" s="54">
        <f>RIGHT(Table1[[#This Row],[UACS]],2)*1</f>
        <v>12</v>
      </c>
      <c r="D966" s="54">
        <v>50213210</v>
      </c>
      <c r="E966" s="54">
        <f ca="1">IF(ISNUMBER(SEARCH($I$1,F966)),MAX($E$2:E965)+1,0)</f>
        <v>0</v>
      </c>
      <c r="F966" s="56" t="s">
        <v>1042</v>
      </c>
      <c r="H966" s="55" t="str">
        <f ca="1">IFERROR(VLOOKUP(ROWS($H$3:H966),E:F,2,0),"")</f>
        <v/>
      </c>
    </row>
    <row r="967" spans="1:8" x14ac:dyDescent="0.25">
      <c r="A967" s="54">
        <v>5021321013</v>
      </c>
      <c r="B967" s="54">
        <v>50213210</v>
      </c>
      <c r="C967" s="54">
        <f>RIGHT(Table1[[#This Row],[UACS]],2)*1</f>
        <v>13</v>
      </c>
      <c r="D967" s="54">
        <v>50213210</v>
      </c>
      <c r="E967" s="54">
        <f ca="1">IF(ISNUMBER(SEARCH($I$1,F967)),MAX($E$2:E966)+1,0)</f>
        <v>0</v>
      </c>
      <c r="F967" s="56" t="s">
        <v>1043</v>
      </c>
      <c r="H967" s="55" t="str">
        <f ca="1">IFERROR(VLOOKUP(ROWS($H$3:H967),E:F,2,0),"")</f>
        <v/>
      </c>
    </row>
    <row r="968" spans="1:8" x14ac:dyDescent="0.25">
      <c r="A968" s="54">
        <v>5021321099</v>
      </c>
      <c r="B968" s="54">
        <v>50213210</v>
      </c>
      <c r="C968" s="54">
        <f>RIGHT(Table1[[#This Row],[UACS]],2)*1</f>
        <v>99</v>
      </c>
      <c r="D968" s="54">
        <v>50213210</v>
      </c>
      <c r="E968" s="54">
        <f ca="1">IF(ISNUMBER(SEARCH($I$1,F968)),MAX($E$2:E967)+1,0)</f>
        <v>0</v>
      </c>
      <c r="F968" s="56" t="s">
        <v>1044</v>
      </c>
      <c r="H968" s="55" t="str">
        <f ca="1">IFERROR(VLOOKUP(ROWS($H$3:H968),E:F,2,0),"")</f>
        <v/>
      </c>
    </row>
    <row r="969" spans="1:8" x14ac:dyDescent="0.25">
      <c r="A969" s="54">
        <v>5021322001</v>
      </c>
      <c r="B969" s="54">
        <v>50213220</v>
      </c>
      <c r="C969" s="54">
        <f>RIGHT(Table1[[#This Row],[UACS]],2)*1</f>
        <v>1</v>
      </c>
      <c r="D969" s="54">
        <v>50213220</v>
      </c>
      <c r="E969" s="54">
        <f ca="1">IF(ISNUMBER(SEARCH($I$1,F969)),MAX($E$2:E968)+1,0)</f>
        <v>0</v>
      </c>
      <c r="F969" s="56" t="s">
        <v>1045</v>
      </c>
      <c r="H969" s="55" t="str">
        <f ca="1">IFERROR(VLOOKUP(ROWS($H$3:H969),E:F,2,0),"")</f>
        <v/>
      </c>
    </row>
    <row r="970" spans="1:8" x14ac:dyDescent="0.25">
      <c r="A970" s="54">
        <v>5021322002</v>
      </c>
      <c r="B970" s="54">
        <v>50213220</v>
      </c>
      <c r="C970" s="54">
        <f>RIGHT(Table1[[#This Row],[UACS]],2)*1</f>
        <v>2</v>
      </c>
      <c r="D970" s="54">
        <v>50213220</v>
      </c>
      <c r="E970" s="54">
        <f ca="1">IF(ISNUMBER(SEARCH($I$1,F970)),MAX($E$2:E969)+1,0)</f>
        <v>0</v>
      </c>
      <c r="F970" s="56" t="s">
        <v>1046</v>
      </c>
      <c r="H970" s="55" t="str">
        <f ca="1">IFERROR(VLOOKUP(ROWS($H$3:H970),E:F,2,0),"")</f>
        <v/>
      </c>
    </row>
    <row r="971" spans="1:8" x14ac:dyDescent="0.25">
      <c r="A971" s="54">
        <v>5021399001</v>
      </c>
      <c r="B971" s="54">
        <v>50213990</v>
      </c>
      <c r="C971" s="54">
        <f>RIGHT(Table1[[#This Row],[UACS]],2)*1</f>
        <v>1</v>
      </c>
      <c r="D971" s="54">
        <v>50213990</v>
      </c>
      <c r="E971" s="54">
        <f ca="1">IF(ISNUMBER(SEARCH($I$1,F971)),MAX($E$2:E970)+1,0)</f>
        <v>0</v>
      </c>
      <c r="F971" s="56" t="s">
        <v>1047</v>
      </c>
      <c r="H971" s="55" t="str">
        <f ca="1">IFERROR(VLOOKUP(ROWS($H$3:H971),E:F,2,0),"")</f>
        <v/>
      </c>
    </row>
    <row r="972" spans="1:8" x14ac:dyDescent="0.25">
      <c r="A972" s="54">
        <v>5021399099</v>
      </c>
      <c r="B972" s="54">
        <v>50213990</v>
      </c>
      <c r="C972" s="54">
        <f>RIGHT(Table1[[#This Row],[UACS]],2)*1</f>
        <v>99</v>
      </c>
      <c r="D972" s="54">
        <v>50213990</v>
      </c>
      <c r="E972" s="54">
        <f ca="1">IF(ISNUMBER(SEARCH($I$1,F972)),MAX($E$2:E971)+1,0)</f>
        <v>0</v>
      </c>
      <c r="F972" s="56" t="s">
        <v>1048</v>
      </c>
      <c r="H972" s="55" t="str">
        <f ca="1">IFERROR(VLOOKUP(ROWS($H$3:H972),E:F,2,0),"")</f>
        <v/>
      </c>
    </row>
    <row r="973" spans="1:8" x14ac:dyDescent="0.25">
      <c r="A973" s="54">
        <v>5021401000</v>
      </c>
      <c r="B973" s="54">
        <v>50214010</v>
      </c>
      <c r="C973" s="54">
        <f>RIGHT(Table1[[#This Row],[UACS]],2)*1</f>
        <v>0</v>
      </c>
      <c r="D973" s="54">
        <v>50214010</v>
      </c>
      <c r="E973" s="54">
        <f ca="1">IF(ISNUMBER(SEARCH($I$1,F973)),MAX($E$2:E972)+1,0)</f>
        <v>0</v>
      </c>
      <c r="F973" s="56" t="s">
        <v>1049</v>
      </c>
      <c r="H973" s="55" t="str">
        <f ca="1">IFERROR(VLOOKUP(ROWS($H$3:H973),E:F,2,0),"")</f>
        <v/>
      </c>
    </row>
    <row r="974" spans="1:8" x14ac:dyDescent="0.25">
      <c r="A974" s="54">
        <v>5021402000</v>
      </c>
      <c r="B974" s="54">
        <v>50214020</v>
      </c>
      <c r="C974" s="54">
        <f>RIGHT(Table1[[#This Row],[UACS]],2)*1</f>
        <v>0</v>
      </c>
      <c r="D974" s="54">
        <v>50214020</v>
      </c>
      <c r="E974" s="54">
        <f ca="1">IF(ISNUMBER(SEARCH($I$1,F974)),MAX($E$2:E973)+1,0)</f>
        <v>0</v>
      </c>
      <c r="F974" s="56" t="s">
        <v>1050</v>
      </c>
      <c r="H974" s="55" t="str">
        <f ca="1">IFERROR(VLOOKUP(ROWS($H$3:H974),E:F,2,0),"")</f>
        <v/>
      </c>
    </row>
    <row r="975" spans="1:8" x14ac:dyDescent="0.25">
      <c r="A975" s="54">
        <v>5021403001</v>
      </c>
      <c r="B975" s="54">
        <v>50214030</v>
      </c>
      <c r="C975" s="54">
        <f>RIGHT(Table1[[#This Row],[UACS]],2)*1</f>
        <v>1</v>
      </c>
      <c r="D975" s="54">
        <v>50214030</v>
      </c>
      <c r="E975" s="54">
        <f ca="1">IF(ISNUMBER(SEARCH($I$1,F975)),MAX($E$2:E974)+1,0)</f>
        <v>0</v>
      </c>
      <c r="F975" s="56" t="s">
        <v>1051</v>
      </c>
      <c r="H975" s="55" t="str">
        <f ca="1">IFERROR(VLOOKUP(ROWS($H$3:H975),E:F,2,0),"")</f>
        <v/>
      </c>
    </row>
    <row r="976" spans="1:8" x14ac:dyDescent="0.25">
      <c r="A976" s="54">
        <v>5021403002</v>
      </c>
      <c r="B976" s="54">
        <v>50214030</v>
      </c>
      <c r="C976" s="54">
        <f>RIGHT(Table1[[#This Row],[UACS]],2)*1</f>
        <v>2</v>
      </c>
      <c r="D976" s="54">
        <v>50214030</v>
      </c>
      <c r="E976" s="54">
        <f ca="1">IF(ISNUMBER(SEARCH($I$1,F976)),MAX($E$2:E975)+1,0)</f>
        <v>14</v>
      </c>
      <c r="F976" s="56" t="s">
        <v>1052</v>
      </c>
      <c r="H976" s="55" t="str">
        <f ca="1">IFERROR(VLOOKUP(ROWS($H$3:H976),E:F,2,0),"")</f>
        <v/>
      </c>
    </row>
    <row r="977" spans="1:8" x14ac:dyDescent="0.25">
      <c r="A977" s="54">
        <v>5021403003</v>
      </c>
      <c r="B977" s="54">
        <v>50214030</v>
      </c>
      <c r="C977" s="54">
        <f>RIGHT(Table1[[#This Row],[UACS]],2)*1</f>
        <v>3</v>
      </c>
      <c r="D977" s="54">
        <v>50214030</v>
      </c>
      <c r="E977" s="54">
        <f ca="1">IF(ISNUMBER(SEARCH($I$1,F977)),MAX($E$2:E976)+1,0)</f>
        <v>15</v>
      </c>
      <c r="F977" s="56" t="s">
        <v>1053</v>
      </c>
      <c r="H977" s="55" t="str">
        <f ca="1">IFERROR(VLOOKUP(ROWS($H$3:H977),E:F,2,0),"")</f>
        <v/>
      </c>
    </row>
    <row r="978" spans="1:8" x14ac:dyDescent="0.25">
      <c r="A978" s="54">
        <v>5021403004</v>
      </c>
      <c r="B978" s="54">
        <v>50214030</v>
      </c>
      <c r="C978" s="54">
        <f>RIGHT(Table1[[#This Row],[UACS]],2)*1</f>
        <v>4</v>
      </c>
      <c r="D978" s="54">
        <v>50214030</v>
      </c>
      <c r="E978" s="54">
        <f ca="1">IF(ISNUMBER(SEARCH($I$1,F978)),MAX($E$2:E977)+1,0)</f>
        <v>16</v>
      </c>
      <c r="F978" s="56" t="s">
        <v>1054</v>
      </c>
      <c r="H978" s="55" t="str">
        <f ca="1">IFERROR(VLOOKUP(ROWS($H$3:H978),E:F,2,0),"")</f>
        <v/>
      </c>
    </row>
    <row r="979" spans="1:8" x14ac:dyDescent="0.25">
      <c r="A979" s="54">
        <v>5021403005</v>
      </c>
      <c r="B979" s="54">
        <v>50214030</v>
      </c>
      <c r="C979" s="54">
        <f>RIGHT(Table1[[#This Row],[UACS]],2)*1</f>
        <v>5</v>
      </c>
      <c r="D979" s="54">
        <v>50214030</v>
      </c>
      <c r="E979" s="54">
        <f ca="1">IF(ISNUMBER(SEARCH($I$1,F979)),MAX($E$2:E978)+1,0)</f>
        <v>17</v>
      </c>
      <c r="F979" s="56" t="s">
        <v>1055</v>
      </c>
      <c r="H979" s="55" t="str">
        <f ca="1">IFERROR(VLOOKUP(ROWS($H$3:H979),E:F,2,0),"")</f>
        <v/>
      </c>
    </row>
    <row r="980" spans="1:8" x14ac:dyDescent="0.25">
      <c r="A980" s="54">
        <v>5021403006</v>
      </c>
      <c r="B980" s="54">
        <v>50214030</v>
      </c>
      <c r="C980" s="54">
        <f>RIGHT(Table1[[#This Row],[UACS]],2)*1</f>
        <v>6</v>
      </c>
      <c r="D980" s="54">
        <v>50214030</v>
      </c>
      <c r="E980" s="54">
        <f ca="1">IF(ISNUMBER(SEARCH($I$1,F980)),MAX($E$2:E979)+1,0)</f>
        <v>18</v>
      </c>
      <c r="F980" s="56" t="s">
        <v>1056</v>
      </c>
      <c r="H980" s="55" t="str">
        <f ca="1">IFERROR(VLOOKUP(ROWS($H$3:H980),E:F,2,0),"")</f>
        <v/>
      </c>
    </row>
    <row r="981" spans="1:8" x14ac:dyDescent="0.25">
      <c r="A981" s="54">
        <v>5021403007</v>
      </c>
      <c r="B981" s="54">
        <v>50214030</v>
      </c>
      <c r="C981" s="54">
        <f>RIGHT(Table1[[#This Row],[UACS]],2)*1</f>
        <v>7</v>
      </c>
      <c r="D981" s="54">
        <v>50214030</v>
      </c>
      <c r="E981" s="54">
        <f ca="1">IF(ISNUMBER(SEARCH($I$1,F981)),MAX($E$2:E980)+1,0)</f>
        <v>0</v>
      </c>
      <c r="F981" s="56" t="s">
        <v>1057</v>
      </c>
      <c r="H981" s="55" t="str">
        <f ca="1">IFERROR(VLOOKUP(ROWS($H$3:H981),E:F,2,0),"")</f>
        <v/>
      </c>
    </row>
    <row r="982" spans="1:8" x14ac:dyDescent="0.25">
      <c r="A982" s="54">
        <v>5021403008</v>
      </c>
      <c r="B982" s="54">
        <v>50214030</v>
      </c>
      <c r="C982" s="54">
        <f>RIGHT(Table1[[#This Row],[UACS]],2)*1</f>
        <v>8</v>
      </c>
      <c r="D982" s="54">
        <v>50214030</v>
      </c>
      <c r="E982" s="54">
        <f ca="1">IF(ISNUMBER(SEARCH($I$1,F982)),MAX($E$2:E981)+1,0)</f>
        <v>0</v>
      </c>
      <c r="F982" s="56" t="s">
        <v>1058</v>
      </c>
      <c r="H982" s="55" t="str">
        <f ca="1">IFERROR(VLOOKUP(ROWS($H$3:H982),E:F,2,0),"")</f>
        <v/>
      </c>
    </row>
    <row r="983" spans="1:8" x14ac:dyDescent="0.25">
      <c r="A983" s="54">
        <v>5021403009</v>
      </c>
      <c r="B983" s="54">
        <v>50214030</v>
      </c>
      <c r="C983" s="54">
        <f>RIGHT(Table1[[#This Row],[UACS]],2)*1</f>
        <v>9</v>
      </c>
      <c r="D983" s="54">
        <v>50214030</v>
      </c>
      <c r="E983" s="54">
        <f ca="1">IF(ISNUMBER(SEARCH($I$1,F983)),MAX($E$2:E982)+1,0)</f>
        <v>0</v>
      </c>
      <c r="F983" s="56" t="s">
        <v>1059</v>
      </c>
      <c r="H983" s="55" t="str">
        <f ca="1">IFERROR(VLOOKUP(ROWS($H$3:H983),E:F,2,0),"")</f>
        <v/>
      </c>
    </row>
    <row r="984" spans="1:8" x14ac:dyDescent="0.25">
      <c r="A984" s="54">
        <v>5021403010</v>
      </c>
      <c r="B984" s="54">
        <v>50214030</v>
      </c>
      <c r="C984" s="54">
        <f>RIGHT(Table1[[#This Row],[UACS]],2)*1</f>
        <v>10</v>
      </c>
      <c r="D984" s="54">
        <v>50214030</v>
      </c>
      <c r="E984" s="54">
        <f ca="1">IF(ISNUMBER(SEARCH($I$1,F984)),MAX($E$2:E983)+1,0)</f>
        <v>19</v>
      </c>
      <c r="F984" s="56" t="s">
        <v>1060</v>
      </c>
      <c r="H984" s="55" t="str">
        <f ca="1">IFERROR(VLOOKUP(ROWS($H$3:H984),E:F,2,0),"")</f>
        <v/>
      </c>
    </row>
    <row r="985" spans="1:8" x14ac:dyDescent="0.25">
      <c r="A985" s="54">
        <v>5021404001</v>
      </c>
      <c r="B985" s="54">
        <v>50214040</v>
      </c>
      <c r="C985" s="54">
        <f>RIGHT(Table1[[#This Row],[UACS]],2)*1</f>
        <v>1</v>
      </c>
      <c r="D985" s="54">
        <v>50214040</v>
      </c>
      <c r="E985" s="54">
        <f ca="1">IF(ISNUMBER(SEARCH($I$1,F985)),MAX($E$2:E984)+1,0)</f>
        <v>0</v>
      </c>
      <c r="F985" s="56" t="s">
        <v>1061</v>
      </c>
      <c r="H985" s="55" t="str">
        <f ca="1">IFERROR(VLOOKUP(ROWS($H$3:H985),E:F,2,0),"")</f>
        <v/>
      </c>
    </row>
    <row r="986" spans="1:8" x14ac:dyDescent="0.25">
      <c r="A986" s="54">
        <v>5021404002</v>
      </c>
      <c r="B986" s="54">
        <v>50214040</v>
      </c>
      <c r="C986" s="54">
        <f>RIGHT(Table1[[#This Row],[UACS]],2)*1</f>
        <v>2</v>
      </c>
      <c r="D986" s="54">
        <v>50214040</v>
      </c>
      <c r="E986" s="54">
        <f ca="1">IF(ISNUMBER(SEARCH($I$1,F986)),MAX($E$2:E985)+1,0)</f>
        <v>0</v>
      </c>
      <c r="F986" s="56" t="s">
        <v>1062</v>
      </c>
      <c r="H986" s="55" t="str">
        <f ca="1">IFERROR(VLOOKUP(ROWS($H$3:H986),E:F,2,0),"")</f>
        <v/>
      </c>
    </row>
    <row r="987" spans="1:8" x14ac:dyDescent="0.25">
      <c r="A987" s="54">
        <v>5021404003</v>
      </c>
      <c r="B987" s="54">
        <v>50214040</v>
      </c>
      <c r="C987" s="54">
        <f>RIGHT(Table1[[#This Row],[UACS]],2)*1</f>
        <v>3</v>
      </c>
      <c r="D987" s="54">
        <v>50214040</v>
      </c>
      <c r="E987" s="54">
        <f ca="1">IF(ISNUMBER(SEARCH($I$1,F987)),MAX($E$2:E986)+1,0)</f>
        <v>0</v>
      </c>
      <c r="F987" s="56" t="s">
        <v>1063</v>
      </c>
      <c r="H987" s="55" t="str">
        <f ca="1">IFERROR(VLOOKUP(ROWS($H$3:H987),E:F,2,0),"")</f>
        <v/>
      </c>
    </row>
    <row r="988" spans="1:8" x14ac:dyDescent="0.25">
      <c r="A988" s="54">
        <v>5021404004</v>
      </c>
      <c r="B988" s="54">
        <v>50214040</v>
      </c>
      <c r="C988" s="54">
        <f>RIGHT(Table1[[#This Row],[UACS]],2)*1</f>
        <v>4</v>
      </c>
      <c r="D988" s="54">
        <v>50214040</v>
      </c>
      <c r="E988" s="54">
        <f ca="1">IF(ISNUMBER(SEARCH($I$1,F988)),MAX($E$2:E987)+1,0)</f>
        <v>0</v>
      </c>
      <c r="F988" s="56" t="s">
        <v>1064</v>
      </c>
      <c r="H988" s="55" t="str">
        <f ca="1">IFERROR(VLOOKUP(ROWS($H$3:H988),E:F,2,0),"")</f>
        <v/>
      </c>
    </row>
    <row r="989" spans="1:8" x14ac:dyDescent="0.25">
      <c r="A989" s="54">
        <v>5021404005</v>
      </c>
      <c r="B989" s="54">
        <v>50214040</v>
      </c>
      <c r="C989" s="54">
        <f>RIGHT(Table1[[#This Row],[UACS]],2)*1</f>
        <v>5</v>
      </c>
      <c r="D989" s="54">
        <v>50214040</v>
      </c>
      <c r="E989" s="54">
        <f ca="1">IF(ISNUMBER(SEARCH($I$1,F989)),MAX($E$2:E988)+1,0)</f>
        <v>0</v>
      </c>
      <c r="F989" s="56" t="s">
        <v>1065</v>
      </c>
      <c r="H989" s="55" t="str">
        <f ca="1">IFERROR(VLOOKUP(ROWS($H$3:H989),E:F,2,0),"")</f>
        <v/>
      </c>
    </row>
    <row r="990" spans="1:8" x14ac:dyDescent="0.25">
      <c r="A990" s="54">
        <v>5021404006</v>
      </c>
      <c r="B990" s="54">
        <v>50214040</v>
      </c>
      <c r="C990" s="54">
        <f>RIGHT(Table1[[#This Row],[UACS]],2)*1</f>
        <v>6</v>
      </c>
      <c r="D990" s="54">
        <v>50214040</v>
      </c>
      <c r="E990" s="54">
        <f ca="1">IF(ISNUMBER(SEARCH($I$1,F990)),MAX($E$2:E989)+1,0)</f>
        <v>0</v>
      </c>
      <c r="F990" s="56" t="s">
        <v>1066</v>
      </c>
      <c r="H990" s="55" t="str">
        <f ca="1">IFERROR(VLOOKUP(ROWS($H$3:H990),E:F,2,0),"")</f>
        <v/>
      </c>
    </row>
    <row r="991" spans="1:8" x14ac:dyDescent="0.25">
      <c r="A991" s="54">
        <v>5021404007</v>
      </c>
      <c r="B991" s="54">
        <v>50214040</v>
      </c>
      <c r="C991" s="54">
        <f>RIGHT(Table1[[#This Row],[UACS]],2)*1</f>
        <v>7</v>
      </c>
      <c r="D991" s="54">
        <v>50214040</v>
      </c>
      <c r="E991" s="54">
        <f ca="1">IF(ISNUMBER(SEARCH($I$1,F991)),MAX($E$2:E990)+1,0)</f>
        <v>0</v>
      </c>
      <c r="F991" s="56" t="s">
        <v>1067</v>
      </c>
      <c r="H991" s="55" t="str">
        <f ca="1">IFERROR(VLOOKUP(ROWS($H$3:H991),E:F,2,0),"")</f>
        <v/>
      </c>
    </row>
    <row r="992" spans="1:8" x14ac:dyDescent="0.25">
      <c r="A992" s="54">
        <v>5021404008</v>
      </c>
      <c r="B992" s="54">
        <v>50214040</v>
      </c>
      <c r="C992" s="54">
        <f>RIGHT(Table1[[#This Row],[UACS]],2)*1</f>
        <v>8</v>
      </c>
      <c r="D992" s="54">
        <v>50214040</v>
      </c>
      <c r="E992" s="54">
        <f ca="1">IF(ISNUMBER(SEARCH($I$1,F992)),MAX($E$2:E991)+1,0)</f>
        <v>0</v>
      </c>
      <c r="F992" s="56" t="s">
        <v>1068</v>
      </c>
      <c r="H992" s="55" t="str">
        <f ca="1">IFERROR(VLOOKUP(ROWS($H$3:H992),E:F,2,0),"")</f>
        <v/>
      </c>
    </row>
    <row r="993" spans="1:8" x14ac:dyDescent="0.25">
      <c r="A993" s="54">
        <v>5021404009</v>
      </c>
      <c r="B993" s="54">
        <v>50214040</v>
      </c>
      <c r="C993" s="54">
        <f>RIGHT(Table1[[#This Row],[UACS]],2)*1</f>
        <v>9</v>
      </c>
      <c r="D993" s="54">
        <v>50214040</v>
      </c>
      <c r="E993" s="54">
        <f ca="1">IF(ISNUMBER(SEARCH($I$1,F993)),MAX($E$2:E992)+1,0)</f>
        <v>0</v>
      </c>
      <c r="F993" s="56" t="s">
        <v>1069</v>
      </c>
      <c r="H993" s="55" t="str">
        <f ca="1">IFERROR(VLOOKUP(ROWS($H$3:H993),E:F,2,0),"")</f>
        <v/>
      </c>
    </row>
    <row r="994" spans="1:8" x14ac:dyDescent="0.25">
      <c r="A994" s="54">
        <v>5021404010</v>
      </c>
      <c r="B994" s="54">
        <v>50214040</v>
      </c>
      <c r="C994" s="54">
        <f>RIGHT(Table1[[#This Row],[UACS]],2)*1</f>
        <v>10</v>
      </c>
      <c r="D994" s="54">
        <v>50214040</v>
      </c>
      <c r="E994" s="54">
        <f ca="1">IF(ISNUMBER(SEARCH($I$1,F994)),MAX($E$2:E993)+1,0)</f>
        <v>0</v>
      </c>
      <c r="F994" s="56" t="s">
        <v>1070</v>
      </c>
      <c r="H994" s="55" t="str">
        <f ca="1">IFERROR(VLOOKUP(ROWS($H$3:H994),E:F,2,0),"")</f>
        <v/>
      </c>
    </row>
    <row r="995" spans="1:8" x14ac:dyDescent="0.25">
      <c r="A995" s="54">
        <v>5021404099</v>
      </c>
      <c r="B995" s="54">
        <v>50214040</v>
      </c>
      <c r="C995" s="54">
        <f>RIGHT(Table1[[#This Row],[UACS]],2)*1</f>
        <v>99</v>
      </c>
      <c r="D995" s="54">
        <v>50214040</v>
      </c>
      <c r="E995" s="54">
        <f ca="1">IF(ISNUMBER(SEARCH($I$1,F995)),MAX($E$2:E994)+1,0)</f>
        <v>0</v>
      </c>
      <c r="F995" s="56" t="s">
        <v>1071</v>
      </c>
      <c r="H995" s="55" t="str">
        <f ca="1">IFERROR(VLOOKUP(ROWS($H$3:H995),E:F,2,0),"")</f>
        <v/>
      </c>
    </row>
    <row r="996" spans="1:8" x14ac:dyDescent="0.25">
      <c r="A996" s="54">
        <v>5021405000</v>
      </c>
      <c r="B996" s="54">
        <v>50214050</v>
      </c>
      <c r="C996" s="54">
        <f>RIGHT(Table1[[#This Row],[UACS]],2)*1</f>
        <v>0</v>
      </c>
      <c r="D996" s="54">
        <v>50214050</v>
      </c>
      <c r="E996" s="54">
        <f ca="1">IF(ISNUMBER(SEARCH($I$1,F996)),MAX($E$2:E995)+1,0)</f>
        <v>0</v>
      </c>
      <c r="F996" s="56" t="s">
        <v>1072</v>
      </c>
      <c r="H996" s="55" t="str">
        <f ca="1">IFERROR(VLOOKUP(ROWS($H$3:H996),E:F,2,0),"")</f>
        <v/>
      </c>
    </row>
    <row r="997" spans="1:8" x14ac:dyDescent="0.25">
      <c r="A997" s="54">
        <v>5021406000</v>
      </c>
      <c r="B997" s="54">
        <v>50214060</v>
      </c>
      <c r="C997" s="54">
        <f>RIGHT(Table1[[#This Row],[UACS]],2)*1</f>
        <v>0</v>
      </c>
      <c r="D997" s="54">
        <v>50214060</v>
      </c>
      <c r="E997" s="54">
        <f ca="1">IF(ISNUMBER(SEARCH($I$1,F997)),MAX($E$2:E996)+1,0)</f>
        <v>0</v>
      </c>
      <c r="F997" s="56" t="s">
        <v>1073</v>
      </c>
      <c r="H997" s="55" t="str">
        <f ca="1">IFERROR(VLOOKUP(ROWS($H$3:H997),E:F,2,0),"")</f>
        <v/>
      </c>
    </row>
    <row r="998" spans="1:8" x14ac:dyDescent="0.25">
      <c r="A998" s="54">
        <v>5021407000</v>
      </c>
      <c r="B998" s="54">
        <v>50214070</v>
      </c>
      <c r="C998" s="54">
        <f>RIGHT(Table1[[#This Row],[UACS]],2)*1</f>
        <v>0</v>
      </c>
      <c r="D998" s="54">
        <v>50214070</v>
      </c>
      <c r="E998" s="54">
        <f ca="1">IF(ISNUMBER(SEARCH($I$1,F998)),MAX($E$2:E997)+1,0)</f>
        <v>0</v>
      </c>
      <c r="F998" s="56" t="s">
        <v>1074</v>
      </c>
      <c r="H998" s="55" t="str">
        <f ca="1">IFERROR(VLOOKUP(ROWS($H$3:H998),E:F,2,0),"")</f>
        <v/>
      </c>
    </row>
    <row r="999" spans="1:8" x14ac:dyDescent="0.25">
      <c r="A999" s="54">
        <v>5021408000</v>
      </c>
      <c r="B999" s="54">
        <v>50214080</v>
      </c>
      <c r="C999" s="54">
        <f>RIGHT(Table1[[#This Row],[UACS]],2)*1</f>
        <v>0</v>
      </c>
      <c r="D999" s="54">
        <v>50214080</v>
      </c>
      <c r="E999" s="54">
        <f ca="1">IF(ISNUMBER(SEARCH($I$1,F999)),MAX($E$2:E998)+1,0)</f>
        <v>0</v>
      </c>
      <c r="F999" s="56" t="s">
        <v>1075</v>
      </c>
      <c r="H999" s="55" t="str">
        <f ca="1">IFERROR(VLOOKUP(ROWS($H$3:H999),E:F,2,0),"")</f>
        <v/>
      </c>
    </row>
    <row r="1000" spans="1:8" x14ac:dyDescent="0.25">
      <c r="A1000" s="54">
        <v>5021409000</v>
      </c>
      <c r="B1000" s="54">
        <v>50214090</v>
      </c>
      <c r="C1000" s="54">
        <f>RIGHT(Table1[[#This Row],[UACS]],2)*1</f>
        <v>0</v>
      </c>
      <c r="D1000" s="54">
        <v>50214090</v>
      </c>
      <c r="E1000" s="54">
        <f ca="1">IF(ISNUMBER(SEARCH($I$1,F1000)),MAX($E$2:E999)+1,0)</f>
        <v>0</v>
      </c>
      <c r="F1000" s="56" t="s">
        <v>1076</v>
      </c>
      <c r="H1000" s="55" t="str">
        <f ca="1">IFERROR(VLOOKUP(ROWS($H$3:H1000),E:F,2,0),"")</f>
        <v/>
      </c>
    </row>
    <row r="1001" spans="1:8" x14ac:dyDescent="0.25">
      <c r="A1001" s="54">
        <v>5021499000</v>
      </c>
      <c r="B1001" s="54">
        <v>50214990</v>
      </c>
      <c r="C1001" s="54">
        <f>RIGHT(Table1[[#This Row],[UACS]],2)*1</f>
        <v>0</v>
      </c>
      <c r="D1001" s="54">
        <v>50214990</v>
      </c>
      <c r="E1001" s="54">
        <f ca="1">IF(ISNUMBER(SEARCH($I$1,F1001)),MAX($E$2:E1000)+1,0)</f>
        <v>0</v>
      </c>
      <c r="F1001" s="56" t="s">
        <v>1077</v>
      </c>
      <c r="H1001" s="55" t="str">
        <f ca="1">IFERROR(VLOOKUP(ROWS($H$3:H1001),E:F,2,0),"")</f>
        <v/>
      </c>
    </row>
    <row r="1002" spans="1:8" x14ac:dyDescent="0.25">
      <c r="A1002" s="54">
        <v>5021501001</v>
      </c>
      <c r="B1002" s="54">
        <v>50215010</v>
      </c>
      <c r="C1002" s="54">
        <f>RIGHT(Table1[[#This Row],[UACS]],2)*1</f>
        <v>1</v>
      </c>
      <c r="D1002" s="54">
        <v>50215010</v>
      </c>
      <c r="E1002" s="54">
        <f ca="1">IF(ISNUMBER(SEARCH($I$1,F1002)),MAX($E$2:E1001)+1,0)</f>
        <v>0</v>
      </c>
      <c r="F1002" s="56" t="s">
        <v>1078</v>
      </c>
      <c r="H1002" s="55" t="str">
        <f ca="1">IFERROR(VLOOKUP(ROWS($H$3:H1002),E:F,2,0),"")</f>
        <v/>
      </c>
    </row>
    <row r="1003" spans="1:8" x14ac:dyDescent="0.25">
      <c r="A1003" s="54">
        <v>5021501002</v>
      </c>
      <c r="B1003" s="54">
        <v>50215010</v>
      </c>
      <c r="C1003" s="54">
        <f>RIGHT(Table1[[#This Row],[UACS]],2)*1</f>
        <v>2</v>
      </c>
      <c r="D1003" s="54">
        <v>50215010</v>
      </c>
      <c r="E1003" s="54">
        <f ca="1">IF(ISNUMBER(SEARCH($I$1,F1003)),MAX($E$2:E1002)+1,0)</f>
        <v>0</v>
      </c>
      <c r="F1003" s="56" t="s">
        <v>1079</v>
      </c>
      <c r="H1003" s="55" t="str">
        <f ca="1">IFERROR(VLOOKUP(ROWS($H$3:H1003),E:F,2,0),"")</f>
        <v/>
      </c>
    </row>
    <row r="1004" spans="1:8" x14ac:dyDescent="0.25">
      <c r="A1004" s="54">
        <v>5021502000</v>
      </c>
      <c r="B1004" s="54">
        <v>50215020</v>
      </c>
      <c r="C1004" s="54">
        <f>RIGHT(Table1[[#This Row],[UACS]],2)*1</f>
        <v>0</v>
      </c>
      <c r="D1004" s="54">
        <v>50215020</v>
      </c>
      <c r="E1004" s="54">
        <f ca="1">IF(ISNUMBER(SEARCH($I$1,F1004)),MAX($E$2:E1003)+1,0)</f>
        <v>0</v>
      </c>
      <c r="F1004" s="56" t="s">
        <v>1080</v>
      </c>
      <c r="H1004" s="55" t="str">
        <f ca="1">IFERROR(VLOOKUP(ROWS($H$3:H1004),E:F,2,0),"")</f>
        <v/>
      </c>
    </row>
    <row r="1005" spans="1:8" x14ac:dyDescent="0.25">
      <c r="A1005" s="54">
        <v>5021503000</v>
      </c>
      <c r="B1005" s="54">
        <v>50215030</v>
      </c>
      <c r="C1005" s="54">
        <f>RIGHT(Table1[[#This Row],[UACS]],2)*1</f>
        <v>0</v>
      </c>
      <c r="D1005" s="54">
        <v>50215030</v>
      </c>
      <c r="E1005" s="54">
        <f ca="1">IF(ISNUMBER(SEARCH($I$1,F1005)),MAX($E$2:E1004)+1,0)</f>
        <v>0</v>
      </c>
      <c r="F1005" s="56" t="s">
        <v>1081</v>
      </c>
      <c r="H1005" s="55" t="str">
        <f ca="1">IFERROR(VLOOKUP(ROWS($H$3:H1005),E:F,2,0),"")</f>
        <v/>
      </c>
    </row>
    <row r="1006" spans="1:8" x14ac:dyDescent="0.25">
      <c r="A1006" s="54">
        <v>5021601000</v>
      </c>
      <c r="B1006" s="54">
        <v>50216010</v>
      </c>
      <c r="C1006" s="54">
        <f>RIGHT(Table1[[#This Row],[UACS]],2)*1</f>
        <v>0</v>
      </c>
      <c r="D1006" s="54">
        <v>50216010</v>
      </c>
      <c r="E1006" s="54">
        <f ca="1">IF(ISNUMBER(SEARCH($I$1,F1006)),MAX($E$2:E1005)+1,0)</f>
        <v>0</v>
      </c>
      <c r="F1006" s="56" t="s">
        <v>1082</v>
      </c>
      <c r="H1006" s="55" t="str">
        <f ca="1">IFERROR(VLOOKUP(ROWS($H$3:H1006),E:F,2,0),"")</f>
        <v/>
      </c>
    </row>
    <row r="1007" spans="1:8" x14ac:dyDescent="0.25">
      <c r="A1007" s="54">
        <v>5029901000</v>
      </c>
      <c r="B1007" s="54">
        <v>50299010</v>
      </c>
      <c r="C1007" s="54">
        <f>RIGHT(Table1[[#This Row],[UACS]],2)*1</f>
        <v>0</v>
      </c>
      <c r="D1007" s="54">
        <v>50299010</v>
      </c>
      <c r="E1007" s="54">
        <f ca="1">IF(ISNUMBER(SEARCH($I$1,F1007)),MAX($E$2:E1006)+1,0)</f>
        <v>0</v>
      </c>
      <c r="F1007" s="56" t="s">
        <v>1083</v>
      </c>
      <c r="H1007" s="55" t="str">
        <f ca="1">IFERROR(VLOOKUP(ROWS($H$3:H1007),E:F,2,0),"")</f>
        <v/>
      </c>
    </row>
    <row r="1008" spans="1:8" x14ac:dyDescent="0.25">
      <c r="A1008" s="54">
        <v>5029902000</v>
      </c>
      <c r="B1008" s="54">
        <v>50299020</v>
      </c>
      <c r="C1008" s="54">
        <f>RIGHT(Table1[[#This Row],[UACS]],2)*1</f>
        <v>0</v>
      </c>
      <c r="D1008" s="54">
        <v>50299020</v>
      </c>
      <c r="E1008" s="54">
        <f ca="1">IF(ISNUMBER(SEARCH($I$1,F1008)),MAX($E$2:E1007)+1,0)</f>
        <v>0</v>
      </c>
      <c r="F1008" s="56" t="s">
        <v>1084</v>
      </c>
      <c r="H1008" s="55" t="str">
        <f ca="1">IFERROR(VLOOKUP(ROWS($H$3:H1008),E:F,2,0),"")</f>
        <v/>
      </c>
    </row>
    <row r="1009" spans="1:8" x14ac:dyDescent="0.25">
      <c r="A1009" s="54">
        <v>5029903000</v>
      </c>
      <c r="B1009" s="54">
        <v>50299030</v>
      </c>
      <c r="C1009" s="54">
        <f>RIGHT(Table1[[#This Row],[UACS]],2)*1</f>
        <v>0</v>
      </c>
      <c r="D1009" s="54">
        <v>50299030</v>
      </c>
      <c r="E1009" s="54">
        <f ca="1">IF(ISNUMBER(SEARCH($I$1,F1009)),MAX($E$2:E1008)+1,0)</f>
        <v>0</v>
      </c>
      <c r="F1009" s="56" t="s">
        <v>1085</v>
      </c>
      <c r="H1009" s="55" t="str">
        <f ca="1">IFERROR(VLOOKUP(ROWS($H$3:H1009),E:F,2,0),"")</f>
        <v/>
      </c>
    </row>
    <row r="1010" spans="1:8" x14ac:dyDescent="0.25">
      <c r="A1010" s="54">
        <v>5029904000</v>
      </c>
      <c r="B1010" s="54">
        <v>50299040</v>
      </c>
      <c r="C1010" s="54">
        <f>RIGHT(Table1[[#This Row],[UACS]],2)*1</f>
        <v>0</v>
      </c>
      <c r="D1010" s="54">
        <v>50299040</v>
      </c>
      <c r="E1010" s="54">
        <f ca="1">IF(ISNUMBER(SEARCH($I$1,F1010)),MAX($E$2:E1009)+1,0)</f>
        <v>0</v>
      </c>
      <c r="F1010" s="56" t="s">
        <v>1086</v>
      </c>
      <c r="H1010" s="55" t="str">
        <f ca="1">IFERROR(VLOOKUP(ROWS($H$3:H1010),E:F,2,0),"")</f>
        <v/>
      </c>
    </row>
    <row r="1011" spans="1:8" x14ac:dyDescent="0.25">
      <c r="A1011" s="54">
        <v>5029905001</v>
      </c>
      <c r="B1011" s="54">
        <v>50299050</v>
      </c>
      <c r="C1011" s="54">
        <f>RIGHT(Table1[[#This Row],[UACS]],2)*1</f>
        <v>1</v>
      </c>
      <c r="D1011" s="54">
        <v>50299050</v>
      </c>
      <c r="E1011" s="54">
        <f ca="1">IF(ISNUMBER(SEARCH($I$1,F1011)),MAX($E$2:E1010)+1,0)</f>
        <v>0</v>
      </c>
      <c r="F1011" s="56" t="s">
        <v>1087</v>
      </c>
      <c r="H1011" s="55" t="str">
        <f ca="1">IFERROR(VLOOKUP(ROWS($H$3:H1011),E:F,2,0),"")</f>
        <v/>
      </c>
    </row>
    <row r="1012" spans="1:8" x14ac:dyDescent="0.25">
      <c r="A1012" s="54">
        <v>5029905002</v>
      </c>
      <c r="B1012" s="54">
        <v>50299050</v>
      </c>
      <c r="C1012" s="54">
        <f>RIGHT(Table1[[#This Row],[UACS]],2)*1</f>
        <v>2</v>
      </c>
      <c r="D1012" s="54">
        <v>50299050</v>
      </c>
      <c r="E1012" s="54">
        <f ca="1">IF(ISNUMBER(SEARCH($I$1,F1012)),MAX($E$2:E1011)+1,0)</f>
        <v>0</v>
      </c>
      <c r="F1012" s="56" t="s">
        <v>1088</v>
      </c>
      <c r="H1012" s="55" t="str">
        <f ca="1">IFERROR(VLOOKUP(ROWS($H$3:H1012),E:F,2,0),"")</f>
        <v/>
      </c>
    </row>
    <row r="1013" spans="1:8" x14ac:dyDescent="0.25">
      <c r="A1013" s="54">
        <v>5029905003</v>
      </c>
      <c r="B1013" s="54">
        <v>50299050</v>
      </c>
      <c r="C1013" s="54">
        <f>RIGHT(Table1[[#This Row],[UACS]],2)*1</f>
        <v>3</v>
      </c>
      <c r="D1013" s="54">
        <v>50299050</v>
      </c>
      <c r="E1013" s="54">
        <f ca="1">IF(ISNUMBER(SEARCH($I$1,F1013)),MAX($E$2:E1012)+1,0)</f>
        <v>0</v>
      </c>
      <c r="F1013" s="56" t="s">
        <v>1089</v>
      </c>
      <c r="H1013" s="55" t="str">
        <f ca="1">IFERROR(VLOOKUP(ROWS($H$3:H1013),E:F,2,0),"")</f>
        <v/>
      </c>
    </row>
    <row r="1014" spans="1:8" x14ac:dyDescent="0.25">
      <c r="A1014" s="54">
        <v>5029905004</v>
      </c>
      <c r="B1014" s="54">
        <v>50299050</v>
      </c>
      <c r="C1014" s="54">
        <f>RIGHT(Table1[[#This Row],[UACS]],2)*1</f>
        <v>4</v>
      </c>
      <c r="D1014" s="54">
        <v>50299050</v>
      </c>
      <c r="E1014" s="54">
        <f ca="1">IF(ISNUMBER(SEARCH($I$1,F1014)),MAX($E$2:E1013)+1,0)</f>
        <v>0</v>
      </c>
      <c r="F1014" s="56" t="s">
        <v>1090</v>
      </c>
      <c r="H1014" s="55" t="str">
        <f ca="1">IFERROR(VLOOKUP(ROWS($H$3:H1014),E:F,2,0),"")</f>
        <v/>
      </c>
    </row>
    <row r="1015" spans="1:8" x14ac:dyDescent="0.25">
      <c r="A1015" s="54">
        <v>5029905005</v>
      </c>
      <c r="B1015" s="54">
        <v>50299050</v>
      </c>
      <c r="C1015" s="54">
        <f>RIGHT(Table1[[#This Row],[UACS]],2)*1</f>
        <v>5</v>
      </c>
      <c r="D1015" s="54">
        <v>50299050</v>
      </c>
      <c r="E1015" s="54">
        <f ca="1">IF(ISNUMBER(SEARCH($I$1,F1015)),MAX($E$2:E1014)+1,0)</f>
        <v>0</v>
      </c>
      <c r="F1015" s="56" t="s">
        <v>1091</v>
      </c>
      <c r="H1015" s="55" t="str">
        <f ca="1">IFERROR(VLOOKUP(ROWS($H$3:H1015),E:F,2,0),"")</f>
        <v/>
      </c>
    </row>
    <row r="1016" spans="1:8" x14ac:dyDescent="0.25">
      <c r="A1016" s="54">
        <v>5029905006</v>
      </c>
      <c r="B1016" s="54">
        <v>50299050</v>
      </c>
      <c r="C1016" s="54">
        <f>RIGHT(Table1[[#This Row],[UACS]],2)*1</f>
        <v>6</v>
      </c>
      <c r="D1016" s="54">
        <v>50299050</v>
      </c>
      <c r="E1016" s="54">
        <f ca="1">IF(ISNUMBER(SEARCH($I$1,F1016)),MAX($E$2:E1015)+1,0)</f>
        <v>0</v>
      </c>
      <c r="F1016" s="56" t="s">
        <v>1092</v>
      </c>
      <c r="H1016" s="55" t="str">
        <f ca="1">IFERROR(VLOOKUP(ROWS($H$3:H1016),E:F,2,0),"")</f>
        <v/>
      </c>
    </row>
    <row r="1017" spans="1:8" x14ac:dyDescent="0.25">
      <c r="A1017" s="54">
        <v>5029905007</v>
      </c>
      <c r="B1017" s="54">
        <v>50299050</v>
      </c>
      <c r="C1017" s="54">
        <f>RIGHT(Table1[[#This Row],[UACS]],2)*1</f>
        <v>7</v>
      </c>
      <c r="D1017" s="54">
        <v>50299050</v>
      </c>
      <c r="E1017" s="54">
        <f ca="1">IF(ISNUMBER(SEARCH($I$1,F1017)),MAX($E$2:E1016)+1,0)</f>
        <v>0</v>
      </c>
      <c r="F1017" s="56" t="s">
        <v>1093</v>
      </c>
      <c r="H1017" s="55" t="str">
        <f ca="1">IFERROR(VLOOKUP(ROWS($H$3:H1017),E:F,2,0),"")</f>
        <v/>
      </c>
    </row>
    <row r="1018" spans="1:8" x14ac:dyDescent="0.25">
      <c r="A1018" s="54">
        <v>5029906000</v>
      </c>
      <c r="B1018" s="54">
        <v>50299060</v>
      </c>
      <c r="C1018" s="54">
        <f>RIGHT(Table1[[#This Row],[UACS]],2)*1</f>
        <v>0</v>
      </c>
      <c r="D1018" s="54">
        <v>50299060</v>
      </c>
      <c r="E1018" s="54">
        <f ca="1">IF(ISNUMBER(SEARCH($I$1,F1018)),MAX($E$2:E1017)+1,0)</f>
        <v>0</v>
      </c>
      <c r="F1018" s="56" t="s">
        <v>1094</v>
      </c>
      <c r="H1018" s="55" t="str">
        <f ca="1">IFERROR(VLOOKUP(ROWS($H$3:H1018),E:F,2,0),"")</f>
        <v/>
      </c>
    </row>
    <row r="1019" spans="1:8" x14ac:dyDescent="0.25">
      <c r="A1019" s="54">
        <v>5029907000</v>
      </c>
      <c r="B1019" s="54">
        <v>50299070</v>
      </c>
      <c r="C1019" s="54">
        <f>RIGHT(Table1[[#This Row],[UACS]],2)*1</f>
        <v>0</v>
      </c>
      <c r="D1019" s="54">
        <v>50299070</v>
      </c>
      <c r="E1019" s="54">
        <f ca="1">IF(ISNUMBER(SEARCH($I$1,F1019)),MAX($E$2:E1018)+1,0)</f>
        <v>0</v>
      </c>
      <c r="F1019" s="56" t="s">
        <v>1095</v>
      </c>
      <c r="H1019" s="55" t="str">
        <f ca="1">IFERROR(VLOOKUP(ROWS($H$3:H1019),E:F,2,0),"")</f>
        <v/>
      </c>
    </row>
    <row r="1020" spans="1:8" x14ac:dyDescent="0.25">
      <c r="A1020" s="54">
        <v>5029908000</v>
      </c>
      <c r="B1020" s="54">
        <v>50299080</v>
      </c>
      <c r="C1020" s="54">
        <f>RIGHT(Table1[[#This Row],[UACS]],2)*1</f>
        <v>0</v>
      </c>
      <c r="D1020" s="54">
        <v>50299080</v>
      </c>
      <c r="E1020" s="54">
        <f ca="1">IF(ISNUMBER(SEARCH($I$1,F1020)),MAX($E$2:E1019)+1,0)</f>
        <v>0</v>
      </c>
      <c r="F1020" s="56" t="s">
        <v>1096</v>
      </c>
      <c r="H1020" s="55" t="str">
        <f ca="1">IFERROR(VLOOKUP(ROWS($H$3:H1020),E:F,2,0),"")</f>
        <v/>
      </c>
    </row>
    <row r="1021" spans="1:8" x14ac:dyDescent="0.25">
      <c r="A1021" s="54">
        <v>5029909000</v>
      </c>
      <c r="B1021" s="54">
        <v>50299090</v>
      </c>
      <c r="C1021" s="54">
        <f>RIGHT(Table1[[#This Row],[UACS]],2)*1</f>
        <v>0</v>
      </c>
      <c r="D1021" s="54">
        <v>50299090</v>
      </c>
      <c r="E1021" s="54">
        <f ca="1">IF(ISNUMBER(SEARCH($I$1,F1021)),MAX($E$2:E1020)+1,0)</f>
        <v>0</v>
      </c>
      <c r="F1021" s="56" t="s">
        <v>1097</v>
      </c>
      <c r="H1021" s="55" t="str">
        <f ca="1">IFERROR(VLOOKUP(ROWS($H$3:H1021),E:F,2,0),"")</f>
        <v/>
      </c>
    </row>
    <row r="1022" spans="1:8" x14ac:dyDescent="0.25">
      <c r="A1022" s="54">
        <v>5029910000</v>
      </c>
      <c r="B1022" s="54">
        <v>50299100</v>
      </c>
      <c r="C1022" s="54">
        <f>RIGHT(Table1[[#This Row],[UACS]],2)*1</f>
        <v>0</v>
      </c>
      <c r="D1022" s="54">
        <v>50299100</v>
      </c>
      <c r="E1022" s="54">
        <f ca="1">IF(ISNUMBER(SEARCH($I$1,F1022)),MAX($E$2:E1021)+1,0)</f>
        <v>0</v>
      </c>
      <c r="F1022" s="56" t="s">
        <v>1098</v>
      </c>
      <c r="H1022" s="55" t="str">
        <f ca="1">IFERROR(VLOOKUP(ROWS($H$3:H1022),E:F,2,0),"")</f>
        <v/>
      </c>
    </row>
    <row r="1023" spans="1:8" x14ac:dyDescent="0.25">
      <c r="A1023" s="54">
        <v>5029999001</v>
      </c>
      <c r="B1023" s="54">
        <v>50299990</v>
      </c>
      <c r="C1023" s="54">
        <f>RIGHT(Table1[[#This Row],[UACS]],2)*1</f>
        <v>1</v>
      </c>
      <c r="D1023" s="54">
        <v>50299990</v>
      </c>
      <c r="E1023" s="54">
        <f ca="1">IF(ISNUMBER(SEARCH($I$1,F1023)),MAX($E$2:E1022)+1,0)</f>
        <v>0</v>
      </c>
      <c r="F1023" s="56" t="s">
        <v>1099</v>
      </c>
      <c r="H1023" s="55" t="str">
        <f ca="1">IFERROR(VLOOKUP(ROWS($H$3:H1023),E:F,2,0),"")</f>
        <v/>
      </c>
    </row>
    <row r="1024" spans="1:8" x14ac:dyDescent="0.25">
      <c r="A1024" s="54">
        <v>5029999002</v>
      </c>
      <c r="B1024" s="54">
        <v>50299990</v>
      </c>
      <c r="C1024" s="54">
        <f>RIGHT(Table1[[#This Row],[UACS]],2)*1</f>
        <v>2</v>
      </c>
      <c r="D1024" s="54">
        <v>50299990</v>
      </c>
      <c r="E1024" s="54">
        <f ca="1">IF(ISNUMBER(SEARCH($I$1,F1024)),MAX($E$2:E1023)+1,0)</f>
        <v>0</v>
      </c>
      <c r="F1024" s="56" t="s">
        <v>1100</v>
      </c>
      <c r="H1024" s="55" t="str">
        <f ca="1">IFERROR(VLOOKUP(ROWS($H$3:H1024),E:F,2,0),"")</f>
        <v/>
      </c>
    </row>
    <row r="1025" spans="1:8" x14ac:dyDescent="0.25">
      <c r="A1025" s="54">
        <v>5030101000</v>
      </c>
      <c r="B1025" s="54">
        <v>50301010</v>
      </c>
      <c r="C1025" s="54">
        <f>RIGHT(Table1[[#This Row],[UACS]],2)*1</f>
        <v>0</v>
      </c>
      <c r="D1025" s="54">
        <v>50301010</v>
      </c>
      <c r="E1025" s="54">
        <f ca="1">IF(ISNUMBER(SEARCH($I$1,F1025)),MAX($E$2:E1024)+1,0)</f>
        <v>0</v>
      </c>
      <c r="F1025" s="56" t="s">
        <v>1101</v>
      </c>
      <c r="H1025" s="55" t="str">
        <f ca="1">IFERROR(VLOOKUP(ROWS($H$3:H1025),E:F,2,0),"")</f>
        <v/>
      </c>
    </row>
    <row r="1026" spans="1:8" x14ac:dyDescent="0.25">
      <c r="A1026" s="54">
        <v>5030102001</v>
      </c>
      <c r="B1026" s="54">
        <v>50301020</v>
      </c>
      <c r="C1026" s="54">
        <f>RIGHT(Table1[[#This Row],[UACS]],2)*1</f>
        <v>1</v>
      </c>
      <c r="D1026" s="54">
        <v>50301020</v>
      </c>
      <c r="E1026" s="54">
        <f ca="1">IF(ISNUMBER(SEARCH($I$1,F1026)),MAX($E$2:E1025)+1,0)</f>
        <v>0</v>
      </c>
      <c r="F1026" s="56" t="s">
        <v>1102</v>
      </c>
      <c r="H1026" s="55" t="str">
        <f ca="1">IFERROR(VLOOKUP(ROWS($H$3:H1026),E:F,2,0),"")</f>
        <v/>
      </c>
    </row>
    <row r="1027" spans="1:8" x14ac:dyDescent="0.25">
      <c r="A1027" s="54">
        <v>5030102002</v>
      </c>
      <c r="B1027" s="54">
        <v>50301020</v>
      </c>
      <c r="C1027" s="54">
        <f>RIGHT(Table1[[#This Row],[UACS]],2)*1</f>
        <v>2</v>
      </c>
      <c r="D1027" s="54">
        <v>50301020</v>
      </c>
      <c r="E1027" s="54">
        <f ca="1">IF(ISNUMBER(SEARCH($I$1,F1027)),MAX($E$2:E1026)+1,0)</f>
        <v>0</v>
      </c>
      <c r="F1027" s="56" t="s">
        <v>1103</v>
      </c>
      <c r="H1027" s="55" t="str">
        <f ca="1">IFERROR(VLOOKUP(ROWS($H$3:H1027),E:F,2,0),"")</f>
        <v/>
      </c>
    </row>
    <row r="1028" spans="1:8" x14ac:dyDescent="0.25">
      <c r="A1028" s="54">
        <v>5030103000</v>
      </c>
      <c r="B1028" s="54">
        <v>50301030</v>
      </c>
      <c r="C1028" s="54">
        <f>RIGHT(Table1[[#This Row],[UACS]],2)*1</f>
        <v>0</v>
      </c>
      <c r="D1028" s="54">
        <v>50301030</v>
      </c>
      <c r="E1028" s="54">
        <f ca="1">IF(ISNUMBER(SEARCH($I$1,F1028)),MAX($E$2:E1027)+1,0)</f>
        <v>0</v>
      </c>
      <c r="F1028" s="56" t="s">
        <v>1104</v>
      </c>
      <c r="H1028" s="55" t="str">
        <f ca="1">IFERROR(VLOOKUP(ROWS($H$3:H1028),E:F,2,0),"")</f>
        <v/>
      </c>
    </row>
    <row r="1029" spans="1:8" x14ac:dyDescent="0.25">
      <c r="A1029" s="54">
        <v>5030104000</v>
      </c>
      <c r="B1029" s="54">
        <v>50301040</v>
      </c>
      <c r="C1029" s="54">
        <f>RIGHT(Table1[[#This Row],[UACS]],2)*1</f>
        <v>0</v>
      </c>
      <c r="D1029" s="54">
        <v>50301040</v>
      </c>
      <c r="E1029" s="54">
        <f ca="1">IF(ISNUMBER(SEARCH($I$1,F1029)),MAX($E$2:E1028)+1,0)</f>
        <v>0</v>
      </c>
      <c r="F1029" s="56" t="s">
        <v>1105</v>
      </c>
      <c r="H1029" s="55" t="str">
        <f ca="1">IFERROR(VLOOKUP(ROWS($H$3:H1029),E:F,2,0),"")</f>
        <v/>
      </c>
    </row>
    <row r="1030" spans="1:8" x14ac:dyDescent="0.25">
      <c r="A1030" s="54">
        <v>5030105000</v>
      </c>
      <c r="B1030" s="54">
        <v>50301050</v>
      </c>
      <c r="C1030" s="54">
        <f>RIGHT(Table1[[#This Row],[UACS]],2)*1</f>
        <v>0</v>
      </c>
      <c r="D1030" s="54">
        <v>50301050</v>
      </c>
      <c r="E1030" s="54">
        <f ca="1">IF(ISNUMBER(SEARCH($I$1,F1030)),MAX($E$2:E1029)+1,0)</f>
        <v>0</v>
      </c>
      <c r="F1030" s="56" t="s">
        <v>1106</v>
      </c>
      <c r="H1030" s="55" t="str">
        <f ca="1">IFERROR(VLOOKUP(ROWS($H$3:H1030),E:F,2,0),"")</f>
        <v/>
      </c>
    </row>
    <row r="1031" spans="1:8" x14ac:dyDescent="0.25">
      <c r="A1031" s="54">
        <v>5030199000</v>
      </c>
      <c r="B1031" s="54">
        <v>50301990</v>
      </c>
      <c r="C1031" s="54">
        <f>RIGHT(Table1[[#This Row],[UACS]],2)*1</f>
        <v>0</v>
      </c>
      <c r="D1031" s="54">
        <v>50301990</v>
      </c>
      <c r="E1031" s="54">
        <f ca="1">IF(ISNUMBER(SEARCH($I$1,F1031)),MAX($E$2:E1030)+1,0)</f>
        <v>0</v>
      </c>
      <c r="F1031" s="56" t="s">
        <v>1107</v>
      </c>
      <c r="H1031" s="55" t="str">
        <f ca="1">IFERROR(VLOOKUP(ROWS($H$3:H1031),E:F,2,0),"")</f>
        <v/>
      </c>
    </row>
    <row r="1032" spans="1:8" x14ac:dyDescent="0.25">
      <c r="A1032" s="54">
        <v>5040101000</v>
      </c>
      <c r="B1032" s="54">
        <v>50401010</v>
      </c>
      <c r="C1032" s="54">
        <f>RIGHT(Table1[[#This Row],[UACS]],2)*1</f>
        <v>0</v>
      </c>
      <c r="D1032" s="54">
        <v>50401010</v>
      </c>
      <c r="E1032" s="54">
        <f ca="1">IF(ISNUMBER(SEARCH($I$1,F1032)),MAX($E$2:E1031)+1,0)</f>
        <v>0</v>
      </c>
      <c r="F1032" s="56" t="s">
        <v>1108</v>
      </c>
      <c r="H1032" s="55" t="str">
        <f ca="1">IFERROR(VLOOKUP(ROWS($H$3:H1032),E:F,2,0),"")</f>
        <v/>
      </c>
    </row>
    <row r="1033" spans="1:8" x14ac:dyDescent="0.25">
      <c r="A1033" s="54">
        <v>5040102000</v>
      </c>
      <c r="B1033" s="54">
        <v>50401020</v>
      </c>
      <c r="C1033" s="54">
        <f>RIGHT(Table1[[#This Row],[UACS]],2)*1</f>
        <v>0</v>
      </c>
      <c r="D1033" s="54">
        <v>50401020</v>
      </c>
      <c r="E1033" s="54">
        <f ca="1">IF(ISNUMBER(SEARCH($I$1,F1033)),MAX($E$2:E1032)+1,0)</f>
        <v>0</v>
      </c>
      <c r="F1033" s="56" t="s">
        <v>1109</v>
      </c>
      <c r="H1033" s="55" t="str">
        <f ca="1">IFERROR(VLOOKUP(ROWS($H$3:H1033),E:F,2,0),"")</f>
        <v/>
      </c>
    </row>
    <row r="1034" spans="1:8" x14ac:dyDescent="0.25">
      <c r="A1034" s="54">
        <v>5040201000</v>
      </c>
      <c r="B1034" s="54">
        <v>50402010</v>
      </c>
      <c r="C1034" s="54">
        <f>RIGHT(Table1[[#This Row],[UACS]],2)*1</f>
        <v>0</v>
      </c>
      <c r="D1034" s="54">
        <v>50402010</v>
      </c>
      <c r="E1034" s="54">
        <f ca="1">IF(ISNUMBER(SEARCH($I$1,F1034)),MAX($E$2:E1033)+1,0)</f>
        <v>0</v>
      </c>
      <c r="F1034" s="56" t="s">
        <v>1110</v>
      </c>
      <c r="H1034" s="55" t="str">
        <f ca="1">IFERROR(VLOOKUP(ROWS($H$3:H1034),E:F,2,0),"")</f>
        <v/>
      </c>
    </row>
    <row r="1035" spans="1:8" x14ac:dyDescent="0.25">
      <c r="A1035" s="54">
        <v>5050101000</v>
      </c>
      <c r="B1035" s="54">
        <v>50501010</v>
      </c>
      <c r="C1035" s="54">
        <f>RIGHT(Table1[[#This Row],[UACS]],2)*1</f>
        <v>0</v>
      </c>
      <c r="D1035" s="54">
        <v>50501010</v>
      </c>
      <c r="E1035" s="54">
        <f ca="1">IF(ISNUMBER(SEARCH($I$1,F1035)),MAX($E$2:E1034)+1,0)</f>
        <v>0</v>
      </c>
      <c r="F1035" s="56" t="s">
        <v>1111</v>
      </c>
      <c r="H1035" s="55" t="str">
        <f ca="1">IFERROR(VLOOKUP(ROWS($H$3:H1035),E:F,2,0),"")</f>
        <v/>
      </c>
    </row>
    <row r="1036" spans="1:8" x14ac:dyDescent="0.25">
      <c r="A1036" s="54">
        <v>5050102001</v>
      </c>
      <c r="B1036" s="54">
        <v>50501020</v>
      </c>
      <c r="C1036" s="54">
        <f>RIGHT(Table1[[#This Row],[UACS]],2)*1</f>
        <v>1</v>
      </c>
      <c r="D1036" s="54">
        <v>50501020</v>
      </c>
      <c r="E1036" s="54">
        <f ca="1">IF(ISNUMBER(SEARCH($I$1,F1036)),MAX($E$2:E1035)+1,0)</f>
        <v>0</v>
      </c>
      <c r="F1036" s="56" t="s">
        <v>1112</v>
      </c>
      <c r="H1036" s="55" t="str">
        <f ca="1">IFERROR(VLOOKUP(ROWS($H$3:H1036),E:F,2,0),"")</f>
        <v/>
      </c>
    </row>
    <row r="1037" spans="1:8" x14ac:dyDescent="0.25">
      <c r="A1037" s="54">
        <v>5050102002</v>
      </c>
      <c r="B1037" s="54">
        <v>50501020</v>
      </c>
      <c r="C1037" s="54">
        <f>RIGHT(Table1[[#This Row],[UACS]],2)*1</f>
        <v>2</v>
      </c>
      <c r="D1037" s="54">
        <v>50501020</v>
      </c>
      <c r="E1037" s="54">
        <f ca="1">IF(ISNUMBER(SEARCH($I$1,F1037)),MAX($E$2:E1036)+1,0)</f>
        <v>0</v>
      </c>
      <c r="F1037" s="56" t="s">
        <v>1113</v>
      </c>
      <c r="H1037" s="55" t="str">
        <f ca="1">IFERROR(VLOOKUP(ROWS($H$3:H1037),E:F,2,0),"")</f>
        <v/>
      </c>
    </row>
    <row r="1038" spans="1:8" x14ac:dyDescent="0.25">
      <c r="A1038" s="54">
        <v>5050102003</v>
      </c>
      <c r="B1038" s="54">
        <v>50501020</v>
      </c>
      <c r="C1038" s="54">
        <f>RIGHT(Table1[[#This Row],[UACS]],2)*1</f>
        <v>3</v>
      </c>
      <c r="D1038" s="54">
        <v>50501020</v>
      </c>
      <c r="E1038" s="54">
        <f ca="1">IF(ISNUMBER(SEARCH($I$1,F1038)),MAX($E$2:E1037)+1,0)</f>
        <v>0</v>
      </c>
      <c r="F1038" s="56" t="s">
        <v>1114</v>
      </c>
      <c r="H1038" s="55" t="str">
        <f ca="1">IFERROR(VLOOKUP(ROWS($H$3:H1038),E:F,2,0),"")</f>
        <v/>
      </c>
    </row>
    <row r="1039" spans="1:8" x14ac:dyDescent="0.25">
      <c r="A1039" s="54">
        <v>5050103001</v>
      </c>
      <c r="B1039" s="54">
        <v>50501030</v>
      </c>
      <c r="C1039" s="54">
        <f>RIGHT(Table1[[#This Row],[UACS]],2)*1</f>
        <v>1</v>
      </c>
      <c r="D1039" s="54">
        <v>50501030</v>
      </c>
      <c r="E1039" s="54">
        <f ca="1">IF(ISNUMBER(SEARCH($I$1,F1039)),MAX($E$2:E1038)+1,0)</f>
        <v>0</v>
      </c>
      <c r="F1039" s="56" t="s">
        <v>1115</v>
      </c>
      <c r="H1039" s="55" t="str">
        <f ca="1">IFERROR(VLOOKUP(ROWS($H$3:H1039),E:F,2,0),"")</f>
        <v/>
      </c>
    </row>
    <row r="1040" spans="1:8" x14ac:dyDescent="0.25">
      <c r="A1040" s="54">
        <v>5050103002</v>
      </c>
      <c r="B1040" s="54">
        <v>50501030</v>
      </c>
      <c r="C1040" s="54">
        <f>RIGHT(Table1[[#This Row],[UACS]],2)*1</f>
        <v>2</v>
      </c>
      <c r="D1040" s="54">
        <v>50501030</v>
      </c>
      <c r="E1040" s="54">
        <f ca="1">IF(ISNUMBER(SEARCH($I$1,F1040)),MAX($E$2:E1039)+1,0)</f>
        <v>0</v>
      </c>
      <c r="F1040" s="56" t="s">
        <v>1116</v>
      </c>
      <c r="H1040" s="55" t="str">
        <f ca="1">IFERROR(VLOOKUP(ROWS($H$3:H1040),E:F,2,0),"")</f>
        <v/>
      </c>
    </row>
    <row r="1041" spans="1:8" x14ac:dyDescent="0.25">
      <c r="A1041" s="54">
        <v>5050103003</v>
      </c>
      <c r="B1041" s="54">
        <v>50501030</v>
      </c>
      <c r="C1041" s="54">
        <f>RIGHT(Table1[[#This Row],[UACS]],2)*1</f>
        <v>3</v>
      </c>
      <c r="D1041" s="54">
        <v>50501030</v>
      </c>
      <c r="E1041" s="54">
        <f ca="1">IF(ISNUMBER(SEARCH($I$1,F1041)),MAX($E$2:E1040)+1,0)</f>
        <v>0</v>
      </c>
      <c r="F1041" s="56" t="s">
        <v>1117</v>
      </c>
      <c r="H1041" s="55" t="str">
        <f ca="1">IFERROR(VLOOKUP(ROWS($H$3:H1041),E:F,2,0),"")</f>
        <v/>
      </c>
    </row>
    <row r="1042" spans="1:8" x14ac:dyDescent="0.25">
      <c r="A1042" s="54">
        <v>5050103004</v>
      </c>
      <c r="B1042" s="54">
        <v>50501030</v>
      </c>
      <c r="C1042" s="54">
        <f>RIGHT(Table1[[#This Row],[UACS]],2)*1</f>
        <v>4</v>
      </c>
      <c r="D1042" s="54">
        <v>50501030</v>
      </c>
      <c r="E1042" s="54">
        <f ca="1">IF(ISNUMBER(SEARCH($I$1,F1042)),MAX($E$2:E1041)+1,0)</f>
        <v>0</v>
      </c>
      <c r="F1042" s="56" t="s">
        <v>1118</v>
      </c>
      <c r="H1042" s="55" t="str">
        <f ca="1">IFERROR(VLOOKUP(ROWS($H$3:H1042),E:F,2,0),"")</f>
        <v/>
      </c>
    </row>
    <row r="1043" spans="1:8" x14ac:dyDescent="0.25">
      <c r="A1043" s="54">
        <v>5050103005</v>
      </c>
      <c r="B1043" s="54">
        <v>50501030</v>
      </c>
      <c r="C1043" s="54">
        <f>RIGHT(Table1[[#This Row],[UACS]],2)*1</f>
        <v>5</v>
      </c>
      <c r="D1043" s="54">
        <v>50501030</v>
      </c>
      <c r="E1043" s="54">
        <f ca="1">IF(ISNUMBER(SEARCH($I$1,F1043)),MAX($E$2:E1042)+1,0)</f>
        <v>0</v>
      </c>
      <c r="F1043" s="56" t="s">
        <v>1119</v>
      </c>
      <c r="H1043" s="55" t="str">
        <f ca="1">IFERROR(VLOOKUP(ROWS($H$3:H1043),E:F,2,0),"")</f>
        <v/>
      </c>
    </row>
    <row r="1044" spans="1:8" x14ac:dyDescent="0.25">
      <c r="A1044" s="54">
        <v>5050103006</v>
      </c>
      <c r="B1044" s="54">
        <v>50501030</v>
      </c>
      <c r="C1044" s="54">
        <f>RIGHT(Table1[[#This Row],[UACS]],2)*1</f>
        <v>6</v>
      </c>
      <c r="D1044" s="54">
        <v>50501030</v>
      </c>
      <c r="E1044" s="54">
        <f ca="1">IF(ISNUMBER(SEARCH($I$1,F1044)),MAX($E$2:E1043)+1,0)</f>
        <v>0</v>
      </c>
      <c r="F1044" s="56" t="s">
        <v>1120</v>
      </c>
      <c r="H1044" s="55" t="str">
        <f ca="1">IFERROR(VLOOKUP(ROWS($H$3:H1044),E:F,2,0),"")</f>
        <v/>
      </c>
    </row>
    <row r="1045" spans="1:8" x14ac:dyDescent="0.25">
      <c r="A1045" s="54">
        <v>5050103007</v>
      </c>
      <c r="B1045" s="54">
        <v>50501030</v>
      </c>
      <c r="C1045" s="54">
        <f>RIGHT(Table1[[#This Row],[UACS]],2)*1</f>
        <v>7</v>
      </c>
      <c r="D1045" s="54">
        <v>50501030</v>
      </c>
      <c r="E1045" s="54">
        <f ca="1">IF(ISNUMBER(SEARCH($I$1,F1045)),MAX($E$2:E1044)+1,0)</f>
        <v>0</v>
      </c>
      <c r="F1045" s="56" t="s">
        <v>1121</v>
      </c>
      <c r="H1045" s="55" t="str">
        <f ca="1">IFERROR(VLOOKUP(ROWS($H$3:H1045),E:F,2,0),"")</f>
        <v/>
      </c>
    </row>
    <row r="1046" spans="1:8" x14ac:dyDescent="0.25">
      <c r="A1046" s="54">
        <v>5050103008</v>
      </c>
      <c r="B1046" s="54">
        <v>50501030</v>
      </c>
      <c r="C1046" s="54">
        <f>RIGHT(Table1[[#This Row],[UACS]],2)*1</f>
        <v>8</v>
      </c>
      <c r="D1046" s="54">
        <v>50501030</v>
      </c>
      <c r="E1046" s="54">
        <f ca="1">IF(ISNUMBER(SEARCH($I$1,F1046)),MAX($E$2:E1045)+1,0)</f>
        <v>0</v>
      </c>
      <c r="F1046" s="56" t="s">
        <v>1122</v>
      </c>
      <c r="H1046" s="55" t="str">
        <f ca="1">IFERROR(VLOOKUP(ROWS($H$3:H1046),E:F,2,0),"")</f>
        <v/>
      </c>
    </row>
    <row r="1047" spans="1:8" x14ac:dyDescent="0.25">
      <c r="A1047" s="54">
        <v>5050103009</v>
      </c>
      <c r="B1047" s="54">
        <v>50501030</v>
      </c>
      <c r="C1047" s="54">
        <f>RIGHT(Table1[[#This Row],[UACS]],2)*1</f>
        <v>9</v>
      </c>
      <c r="D1047" s="54">
        <v>50501030</v>
      </c>
      <c r="E1047" s="54">
        <f ca="1">IF(ISNUMBER(SEARCH($I$1,F1047)),MAX($E$2:E1046)+1,0)</f>
        <v>0</v>
      </c>
      <c r="F1047" s="56" t="s">
        <v>1123</v>
      </c>
      <c r="H1047" s="55" t="str">
        <f ca="1">IFERROR(VLOOKUP(ROWS($H$3:H1047),E:F,2,0),"")</f>
        <v/>
      </c>
    </row>
    <row r="1048" spans="1:8" x14ac:dyDescent="0.25">
      <c r="A1048" s="54">
        <v>5050103010</v>
      </c>
      <c r="B1048" s="54">
        <v>50501030</v>
      </c>
      <c r="C1048" s="54">
        <f>RIGHT(Table1[[#This Row],[UACS]],2)*1</f>
        <v>10</v>
      </c>
      <c r="D1048" s="54">
        <v>50501030</v>
      </c>
      <c r="E1048" s="54">
        <f ca="1">IF(ISNUMBER(SEARCH($I$1,F1048)),MAX($E$2:E1047)+1,0)</f>
        <v>0</v>
      </c>
      <c r="F1048" s="56" t="s">
        <v>1124</v>
      </c>
      <c r="H1048" s="55" t="str">
        <f ca="1">IFERROR(VLOOKUP(ROWS($H$3:H1048),E:F,2,0),"")</f>
        <v/>
      </c>
    </row>
    <row r="1049" spans="1:8" x14ac:dyDescent="0.25">
      <c r="A1049" s="54">
        <v>5050103099</v>
      </c>
      <c r="B1049" s="54">
        <v>50501030</v>
      </c>
      <c r="C1049" s="54">
        <f>RIGHT(Table1[[#This Row],[UACS]],2)*1</f>
        <v>99</v>
      </c>
      <c r="D1049" s="54">
        <v>50501030</v>
      </c>
      <c r="E1049" s="54">
        <f ca="1">IF(ISNUMBER(SEARCH($I$1,F1049)),MAX($E$2:E1048)+1,0)</f>
        <v>0</v>
      </c>
      <c r="F1049" s="56" t="s">
        <v>1125</v>
      </c>
      <c r="H1049" s="55" t="str">
        <f ca="1">IFERROR(VLOOKUP(ROWS($H$3:H1049),E:F,2,0),"")</f>
        <v/>
      </c>
    </row>
    <row r="1050" spans="1:8" x14ac:dyDescent="0.25">
      <c r="A1050" s="54">
        <v>5050104001</v>
      </c>
      <c r="B1050" s="54">
        <v>50501040</v>
      </c>
      <c r="C1050" s="54">
        <f>RIGHT(Table1[[#This Row],[UACS]],2)*1</f>
        <v>1</v>
      </c>
      <c r="D1050" s="54">
        <v>50501040</v>
      </c>
      <c r="E1050" s="54">
        <f ca="1">IF(ISNUMBER(SEARCH($I$1,F1050)),MAX($E$2:E1049)+1,0)</f>
        <v>0</v>
      </c>
      <c r="F1050" s="56" t="s">
        <v>1126</v>
      </c>
      <c r="H1050" s="55" t="str">
        <f ca="1">IFERROR(VLOOKUP(ROWS($H$3:H1050),E:F,2,0),"")</f>
        <v/>
      </c>
    </row>
    <row r="1051" spans="1:8" x14ac:dyDescent="0.25">
      <c r="A1051" s="54">
        <v>5050104002</v>
      </c>
      <c r="B1051" s="54">
        <v>50501040</v>
      </c>
      <c r="C1051" s="54">
        <f>RIGHT(Table1[[#This Row],[UACS]],2)*1</f>
        <v>2</v>
      </c>
      <c r="D1051" s="54">
        <v>50501040</v>
      </c>
      <c r="E1051" s="54">
        <f ca="1">IF(ISNUMBER(SEARCH($I$1,F1051)),MAX($E$2:E1050)+1,0)</f>
        <v>0</v>
      </c>
      <c r="F1051" s="56" t="s">
        <v>1127</v>
      </c>
      <c r="H1051" s="55" t="str">
        <f ca="1">IFERROR(VLOOKUP(ROWS($H$3:H1051),E:F,2,0),"")</f>
        <v/>
      </c>
    </row>
    <row r="1052" spans="1:8" x14ac:dyDescent="0.25">
      <c r="A1052" s="54">
        <v>5050104003</v>
      </c>
      <c r="B1052" s="54">
        <v>50501040</v>
      </c>
      <c r="C1052" s="54">
        <f>RIGHT(Table1[[#This Row],[UACS]],2)*1</f>
        <v>3</v>
      </c>
      <c r="D1052" s="54">
        <v>50501040</v>
      </c>
      <c r="E1052" s="54">
        <f ca="1">IF(ISNUMBER(SEARCH($I$1,F1052)),MAX($E$2:E1051)+1,0)</f>
        <v>0</v>
      </c>
      <c r="F1052" s="56" t="s">
        <v>1128</v>
      </c>
      <c r="H1052" s="55" t="str">
        <f ca="1">IFERROR(VLOOKUP(ROWS($H$3:H1052),E:F,2,0),"")</f>
        <v/>
      </c>
    </row>
    <row r="1053" spans="1:8" x14ac:dyDescent="0.25">
      <c r="A1053" s="54">
        <v>5050104004</v>
      </c>
      <c r="B1053" s="54">
        <v>50501040</v>
      </c>
      <c r="C1053" s="54">
        <f>RIGHT(Table1[[#This Row],[UACS]],2)*1</f>
        <v>4</v>
      </c>
      <c r="D1053" s="54">
        <v>50501040</v>
      </c>
      <c r="E1053" s="54">
        <f ca="1">IF(ISNUMBER(SEARCH($I$1,F1053)),MAX($E$2:E1052)+1,0)</f>
        <v>0</v>
      </c>
      <c r="F1053" s="56" t="s">
        <v>1129</v>
      </c>
      <c r="H1053" s="55" t="str">
        <f ca="1">IFERROR(VLOOKUP(ROWS($H$3:H1053),E:F,2,0),"")</f>
        <v/>
      </c>
    </row>
    <row r="1054" spans="1:8" x14ac:dyDescent="0.25">
      <c r="A1054" s="54">
        <v>5050104005</v>
      </c>
      <c r="B1054" s="54">
        <v>50501040</v>
      </c>
      <c r="C1054" s="54">
        <f>RIGHT(Table1[[#This Row],[UACS]],2)*1</f>
        <v>5</v>
      </c>
      <c r="D1054" s="54">
        <v>50501040</v>
      </c>
      <c r="E1054" s="54">
        <f ca="1">IF(ISNUMBER(SEARCH($I$1,F1054)),MAX($E$2:E1053)+1,0)</f>
        <v>0</v>
      </c>
      <c r="F1054" s="56" t="s">
        <v>1130</v>
      </c>
      <c r="H1054" s="55" t="str">
        <f ca="1">IFERROR(VLOOKUP(ROWS($H$3:H1054),E:F,2,0),"")</f>
        <v/>
      </c>
    </row>
    <row r="1055" spans="1:8" x14ac:dyDescent="0.25">
      <c r="A1055" s="54">
        <v>5050104006</v>
      </c>
      <c r="B1055" s="54">
        <v>50501040</v>
      </c>
      <c r="C1055" s="54">
        <f>RIGHT(Table1[[#This Row],[UACS]],2)*1</f>
        <v>6</v>
      </c>
      <c r="D1055" s="54">
        <v>50501040</v>
      </c>
      <c r="E1055" s="54">
        <f ca="1">IF(ISNUMBER(SEARCH($I$1,F1055)),MAX($E$2:E1054)+1,0)</f>
        <v>0</v>
      </c>
      <c r="F1055" s="56" t="s">
        <v>1131</v>
      </c>
      <c r="H1055" s="55" t="str">
        <f ca="1">IFERROR(VLOOKUP(ROWS($H$3:H1055),E:F,2,0),"")</f>
        <v/>
      </c>
    </row>
    <row r="1056" spans="1:8" x14ac:dyDescent="0.25">
      <c r="A1056" s="54">
        <v>5050104099</v>
      </c>
      <c r="B1056" s="54">
        <v>50501040</v>
      </c>
      <c r="C1056" s="54">
        <f>RIGHT(Table1[[#This Row],[UACS]],2)*1</f>
        <v>99</v>
      </c>
      <c r="D1056" s="54">
        <v>50501040</v>
      </c>
      <c r="E1056" s="54">
        <f ca="1">IF(ISNUMBER(SEARCH($I$1,F1056)),MAX($E$2:E1055)+1,0)</f>
        <v>0</v>
      </c>
      <c r="F1056" s="56" t="s">
        <v>1132</v>
      </c>
      <c r="H1056" s="55" t="str">
        <f ca="1">IFERROR(VLOOKUP(ROWS($H$3:H1056),E:F,2,0),"")</f>
        <v/>
      </c>
    </row>
    <row r="1057" spans="1:8" x14ac:dyDescent="0.25">
      <c r="A1057" s="54">
        <v>5050105001</v>
      </c>
      <c r="B1057" s="54">
        <v>50501050</v>
      </c>
      <c r="C1057" s="54">
        <f>RIGHT(Table1[[#This Row],[UACS]],2)*1</f>
        <v>1</v>
      </c>
      <c r="D1057" s="54">
        <v>50501050</v>
      </c>
      <c r="E1057" s="54">
        <f ca="1">IF(ISNUMBER(SEARCH($I$1,F1057)),MAX($E$2:E1056)+1,0)</f>
        <v>0</v>
      </c>
      <c r="F1057" s="56" t="s">
        <v>1133</v>
      </c>
      <c r="H1057" s="55" t="str">
        <f ca="1">IFERROR(VLOOKUP(ROWS($H$3:H1057),E:F,2,0),"")</f>
        <v/>
      </c>
    </row>
    <row r="1058" spans="1:8" x14ac:dyDescent="0.25">
      <c r="A1058" s="54">
        <v>5050105002</v>
      </c>
      <c r="B1058" s="54">
        <v>50501050</v>
      </c>
      <c r="C1058" s="54">
        <f>RIGHT(Table1[[#This Row],[UACS]],2)*1</f>
        <v>2</v>
      </c>
      <c r="D1058" s="54">
        <v>50501050</v>
      </c>
      <c r="E1058" s="54">
        <f ca="1">IF(ISNUMBER(SEARCH($I$1,F1058)),MAX($E$2:E1057)+1,0)</f>
        <v>0</v>
      </c>
      <c r="F1058" s="56" t="s">
        <v>1134</v>
      </c>
      <c r="H1058" s="55" t="str">
        <f ca="1">IFERROR(VLOOKUP(ROWS($H$3:H1058),E:F,2,0),"")</f>
        <v/>
      </c>
    </row>
    <row r="1059" spans="1:8" x14ac:dyDescent="0.25">
      <c r="A1059" s="54">
        <v>5050105003</v>
      </c>
      <c r="B1059" s="54">
        <v>50501050</v>
      </c>
      <c r="C1059" s="54">
        <f>RIGHT(Table1[[#This Row],[UACS]],2)*1</f>
        <v>3</v>
      </c>
      <c r="D1059" s="54">
        <v>50501050</v>
      </c>
      <c r="E1059" s="54">
        <f ca="1">IF(ISNUMBER(SEARCH($I$1,F1059)),MAX($E$2:E1058)+1,0)</f>
        <v>0</v>
      </c>
      <c r="F1059" s="56" t="s">
        <v>1135</v>
      </c>
      <c r="H1059" s="55" t="str">
        <f ca="1">IFERROR(VLOOKUP(ROWS($H$3:H1059),E:F,2,0),"")</f>
        <v/>
      </c>
    </row>
    <row r="1060" spans="1:8" x14ac:dyDescent="0.25">
      <c r="A1060" s="54">
        <v>5050105004</v>
      </c>
      <c r="B1060" s="54">
        <v>50501050</v>
      </c>
      <c r="C1060" s="54">
        <f>RIGHT(Table1[[#This Row],[UACS]],2)*1</f>
        <v>4</v>
      </c>
      <c r="D1060" s="54">
        <v>50501050</v>
      </c>
      <c r="E1060" s="54">
        <f ca="1">IF(ISNUMBER(SEARCH($I$1,F1060)),MAX($E$2:E1059)+1,0)</f>
        <v>0</v>
      </c>
      <c r="F1060" s="56" t="s">
        <v>1136</v>
      </c>
      <c r="H1060" s="55" t="str">
        <f ca="1">IFERROR(VLOOKUP(ROWS($H$3:H1060),E:F,2,0),"")</f>
        <v/>
      </c>
    </row>
    <row r="1061" spans="1:8" x14ac:dyDescent="0.25">
      <c r="A1061" s="54">
        <v>5050105005</v>
      </c>
      <c r="B1061" s="54">
        <v>50501050</v>
      </c>
      <c r="C1061" s="54">
        <f>RIGHT(Table1[[#This Row],[UACS]],2)*1</f>
        <v>5</v>
      </c>
      <c r="D1061" s="54">
        <v>50501050</v>
      </c>
      <c r="E1061" s="54">
        <f ca="1">IF(ISNUMBER(SEARCH($I$1,F1061)),MAX($E$2:E1060)+1,0)</f>
        <v>0</v>
      </c>
      <c r="F1061" s="56" t="s">
        <v>1137</v>
      </c>
      <c r="H1061" s="55" t="str">
        <f ca="1">IFERROR(VLOOKUP(ROWS($H$3:H1061),E:F,2,0),"")</f>
        <v/>
      </c>
    </row>
    <row r="1062" spans="1:8" x14ac:dyDescent="0.25">
      <c r="A1062" s="54">
        <v>5050105006</v>
      </c>
      <c r="B1062" s="54">
        <v>50501050</v>
      </c>
      <c r="C1062" s="54">
        <f>RIGHT(Table1[[#This Row],[UACS]],2)*1</f>
        <v>6</v>
      </c>
      <c r="D1062" s="54">
        <v>50501050</v>
      </c>
      <c r="E1062" s="54">
        <f ca="1">IF(ISNUMBER(SEARCH($I$1,F1062)),MAX($E$2:E1061)+1,0)</f>
        <v>0</v>
      </c>
      <c r="F1062" s="56" t="s">
        <v>1138</v>
      </c>
      <c r="H1062" s="55" t="str">
        <f ca="1">IFERROR(VLOOKUP(ROWS($H$3:H1062),E:F,2,0),"")</f>
        <v/>
      </c>
    </row>
    <row r="1063" spans="1:8" x14ac:dyDescent="0.25">
      <c r="A1063" s="54">
        <v>5050105007</v>
      </c>
      <c r="B1063" s="54">
        <v>50501050</v>
      </c>
      <c r="C1063" s="54">
        <f>RIGHT(Table1[[#This Row],[UACS]],2)*1</f>
        <v>7</v>
      </c>
      <c r="D1063" s="54">
        <v>50501050</v>
      </c>
      <c r="E1063" s="54">
        <f ca="1">IF(ISNUMBER(SEARCH($I$1,F1063)),MAX($E$2:E1062)+1,0)</f>
        <v>0</v>
      </c>
      <c r="F1063" s="56" t="s">
        <v>1139</v>
      </c>
      <c r="H1063" s="55" t="str">
        <f ca="1">IFERROR(VLOOKUP(ROWS($H$3:H1063),E:F,2,0),"")</f>
        <v/>
      </c>
    </row>
    <row r="1064" spans="1:8" x14ac:dyDescent="0.25">
      <c r="A1064" s="54">
        <v>5050105008</v>
      </c>
      <c r="B1064" s="54">
        <v>50501050</v>
      </c>
      <c r="C1064" s="54">
        <f>RIGHT(Table1[[#This Row],[UACS]],2)*1</f>
        <v>8</v>
      </c>
      <c r="D1064" s="54">
        <v>50501050</v>
      </c>
      <c r="E1064" s="54">
        <f ca="1">IF(ISNUMBER(SEARCH($I$1,F1064)),MAX($E$2:E1063)+1,0)</f>
        <v>0</v>
      </c>
      <c r="F1064" s="56" t="s">
        <v>1140</v>
      </c>
      <c r="H1064" s="55" t="str">
        <f ca="1">IFERROR(VLOOKUP(ROWS($H$3:H1064),E:F,2,0),"")</f>
        <v/>
      </c>
    </row>
    <row r="1065" spans="1:8" x14ac:dyDescent="0.25">
      <c r="A1065" s="54">
        <v>5050105009</v>
      </c>
      <c r="B1065" s="54">
        <v>50501050</v>
      </c>
      <c r="C1065" s="54">
        <f>RIGHT(Table1[[#This Row],[UACS]],2)*1</f>
        <v>9</v>
      </c>
      <c r="D1065" s="54">
        <v>50501050</v>
      </c>
      <c r="E1065" s="54">
        <f ca="1">IF(ISNUMBER(SEARCH($I$1,F1065)),MAX($E$2:E1064)+1,0)</f>
        <v>0</v>
      </c>
      <c r="F1065" s="56" t="s">
        <v>1141</v>
      </c>
      <c r="H1065" s="55" t="str">
        <f ca="1">IFERROR(VLOOKUP(ROWS($H$3:H1065),E:F,2,0),"")</f>
        <v/>
      </c>
    </row>
    <row r="1066" spans="1:8" x14ac:dyDescent="0.25">
      <c r="A1066" s="54">
        <v>5050105010</v>
      </c>
      <c r="B1066" s="54">
        <v>50501050</v>
      </c>
      <c r="C1066" s="54">
        <f>RIGHT(Table1[[#This Row],[UACS]],2)*1</f>
        <v>10</v>
      </c>
      <c r="D1066" s="54">
        <v>50501050</v>
      </c>
      <c r="E1066" s="54">
        <f ca="1">IF(ISNUMBER(SEARCH($I$1,F1066)),MAX($E$2:E1065)+1,0)</f>
        <v>0</v>
      </c>
      <c r="F1066" s="56" t="s">
        <v>1142</v>
      </c>
      <c r="H1066" s="55" t="str">
        <f ca="1">IFERROR(VLOOKUP(ROWS($H$3:H1066),E:F,2,0),"")</f>
        <v/>
      </c>
    </row>
    <row r="1067" spans="1:8" x14ac:dyDescent="0.25">
      <c r="A1067" s="54">
        <v>5050105011</v>
      </c>
      <c r="B1067" s="54">
        <v>50501050</v>
      </c>
      <c r="C1067" s="54">
        <f>RIGHT(Table1[[#This Row],[UACS]],2)*1</f>
        <v>11</v>
      </c>
      <c r="D1067" s="54">
        <v>50501050</v>
      </c>
      <c r="E1067" s="54">
        <f ca="1">IF(ISNUMBER(SEARCH($I$1,F1067)),MAX($E$2:E1066)+1,0)</f>
        <v>0</v>
      </c>
      <c r="F1067" s="56" t="s">
        <v>1143</v>
      </c>
      <c r="H1067" s="55" t="str">
        <f ca="1">IFERROR(VLOOKUP(ROWS($H$3:H1067),E:F,2,0),"")</f>
        <v/>
      </c>
    </row>
    <row r="1068" spans="1:8" x14ac:dyDescent="0.25">
      <c r="A1068" s="54">
        <v>5050105012</v>
      </c>
      <c r="B1068" s="54">
        <v>50501050</v>
      </c>
      <c r="C1068" s="54">
        <f>RIGHT(Table1[[#This Row],[UACS]],2)*1</f>
        <v>12</v>
      </c>
      <c r="D1068" s="54">
        <v>50501050</v>
      </c>
      <c r="E1068" s="54">
        <f ca="1">IF(ISNUMBER(SEARCH($I$1,F1068)),MAX($E$2:E1067)+1,0)</f>
        <v>0</v>
      </c>
      <c r="F1068" s="56" t="s">
        <v>1144</v>
      </c>
      <c r="H1068" s="55" t="str">
        <f ca="1">IFERROR(VLOOKUP(ROWS($H$3:H1068),E:F,2,0),"")</f>
        <v/>
      </c>
    </row>
    <row r="1069" spans="1:8" x14ac:dyDescent="0.25">
      <c r="A1069" s="54">
        <v>5050105013</v>
      </c>
      <c r="B1069" s="54">
        <v>50501050</v>
      </c>
      <c r="C1069" s="54">
        <f>RIGHT(Table1[[#This Row],[UACS]],2)*1</f>
        <v>13</v>
      </c>
      <c r="D1069" s="54">
        <v>50501050</v>
      </c>
      <c r="E1069" s="54">
        <f ca="1">IF(ISNUMBER(SEARCH($I$1,F1069)),MAX($E$2:E1068)+1,0)</f>
        <v>0</v>
      </c>
      <c r="F1069" s="56" t="s">
        <v>1145</v>
      </c>
      <c r="H1069" s="55" t="str">
        <f ca="1">IFERROR(VLOOKUP(ROWS($H$3:H1069),E:F,2,0),"")</f>
        <v/>
      </c>
    </row>
    <row r="1070" spans="1:8" x14ac:dyDescent="0.25">
      <c r="A1070" s="54">
        <v>5050105014</v>
      </c>
      <c r="B1070" s="54">
        <v>50501050</v>
      </c>
      <c r="C1070" s="54">
        <f>RIGHT(Table1[[#This Row],[UACS]],2)*1</f>
        <v>14</v>
      </c>
      <c r="D1070" s="54">
        <v>50501050</v>
      </c>
      <c r="E1070" s="54">
        <f ca="1">IF(ISNUMBER(SEARCH($I$1,F1070)),MAX($E$2:E1069)+1,0)</f>
        <v>0</v>
      </c>
      <c r="F1070" s="56" t="s">
        <v>1146</v>
      </c>
      <c r="H1070" s="55" t="str">
        <f ca="1">IFERROR(VLOOKUP(ROWS($H$3:H1070),E:F,2,0),"")</f>
        <v/>
      </c>
    </row>
    <row r="1071" spans="1:8" x14ac:dyDescent="0.25">
      <c r="A1071" s="54">
        <v>5050105099</v>
      </c>
      <c r="B1071" s="54">
        <v>50501050</v>
      </c>
      <c r="C1071" s="54">
        <f>RIGHT(Table1[[#This Row],[UACS]],2)*1</f>
        <v>99</v>
      </c>
      <c r="D1071" s="54">
        <v>50501050</v>
      </c>
      <c r="E1071" s="54">
        <f ca="1">IF(ISNUMBER(SEARCH($I$1,F1071)),MAX($E$2:E1070)+1,0)</f>
        <v>0</v>
      </c>
      <c r="F1071" s="56" t="s">
        <v>1147</v>
      </c>
      <c r="H1071" s="55" t="str">
        <f ca="1">IFERROR(VLOOKUP(ROWS($H$3:H1071),E:F,2,0),"")</f>
        <v/>
      </c>
    </row>
    <row r="1072" spans="1:8" x14ac:dyDescent="0.25">
      <c r="A1072" s="54">
        <v>5050106001</v>
      </c>
      <c r="B1072" s="54">
        <v>50501060</v>
      </c>
      <c r="C1072" s="54">
        <f>RIGHT(Table1[[#This Row],[UACS]],2)*1</f>
        <v>1</v>
      </c>
      <c r="D1072" s="54">
        <v>50501060</v>
      </c>
      <c r="E1072" s="54">
        <f ca="1">IF(ISNUMBER(SEARCH($I$1,F1072)),MAX($E$2:E1071)+1,0)</f>
        <v>0</v>
      </c>
      <c r="F1072" s="56" t="s">
        <v>1148</v>
      </c>
      <c r="H1072" s="55" t="str">
        <f ca="1">IFERROR(VLOOKUP(ROWS($H$3:H1072),E:F,2,0),"")</f>
        <v/>
      </c>
    </row>
    <row r="1073" spans="1:8" x14ac:dyDescent="0.25">
      <c r="A1073" s="54">
        <v>5050106002</v>
      </c>
      <c r="B1073" s="54">
        <v>50501060</v>
      </c>
      <c r="C1073" s="54">
        <f>RIGHT(Table1[[#This Row],[UACS]],2)*1</f>
        <v>2</v>
      </c>
      <c r="D1073" s="54">
        <v>50501060</v>
      </c>
      <c r="E1073" s="54">
        <f ca="1">IF(ISNUMBER(SEARCH($I$1,F1073)),MAX($E$2:E1072)+1,0)</f>
        <v>0</v>
      </c>
      <c r="F1073" s="56" t="s">
        <v>1149</v>
      </c>
      <c r="H1073" s="55" t="str">
        <f ca="1">IFERROR(VLOOKUP(ROWS($H$3:H1073),E:F,2,0),"")</f>
        <v/>
      </c>
    </row>
    <row r="1074" spans="1:8" x14ac:dyDescent="0.25">
      <c r="A1074" s="54">
        <v>5050106003</v>
      </c>
      <c r="B1074" s="54">
        <v>50501060</v>
      </c>
      <c r="C1074" s="54">
        <f>RIGHT(Table1[[#This Row],[UACS]],2)*1</f>
        <v>3</v>
      </c>
      <c r="D1074" s="54">
        <v>50501060</v>
      </c>
      <c r="E1074" s="54">
        <f ca="1">IF(ISNUMBER(SEARCH($I$1,F1074)),MAX($E$2:E1073)+1,0)</f>
        <v>0</v>
      </c>
      <c r="F1074" s="56" t="s">
        <v>1150</v>
      </c>
      <c r="H1074" s="55" t="str">
        <f ca="1">IFERROR(VLOOKUP(ROWS($H$3:H1074),E:F,2,0),"")</f>
        <v/>
      </c>
    </row>
    <row r="1075" spans="1:8" x14ac:dyDescent="0.25">
      <c r="A1075" s="54">
        <v>5050106004</v>
      </c>
      <c r="B1075" s="54">
        <v>50501060</v>
      </c>
      <c r="C1075" s="54">
        <f>RIGHT(Table1[[#This Row],[UACS]],2)*1</f>
        <v>4</v>
      </c>
      <c r="D1075" s="54">
        <v>50501060</v>
      </c>
      <c r="E1075" s="54">
        <f ca="1">IF(ISNUMBER(SEARCH($I$1,F1075)),MAX($E$2:E1074)+1,0)</f>
        <v>0</v>
      </c>
      <c r="F1075" s="56" t="s">
        <v>1151</v>
      </c>
      <c r="H1075" s="55" t="str">
        <f ca="1">IFERROR(VLOOKUP(ROWS($H$3:H1075),E:F,2,0),"")</f>
        <v/>
      </c>
    </row>
    <row r="1076" spans="1:8" x14ac:dyDescent="0.25">
      <c r="A1076" s="54">
        <v>5050106099</v>
      </c>
      <c r="B1076" s="54">
        <v>50501060</v>
      </c>
      <c r="C1076" s="54">
        <f>RIGHT(Table1[[#This Row],[UACS]],2)*1</f>
        <v>99</v>
      </c>
      <c r="D1076" s="54">
        <v>50501060</v>
      </c>
      <c r="E1076" s="54">
        <f ca="1">IF(ISNUMBER(SEARCH($I$1,F1076)),MAX($E$2:E1075)+1,0)</f>
        <v>0</v>
      </c>
      <c r="F1076" s="56" t="s">
        <v>1152</v>
      </c>
      <c r="H1076" s="55" t="str">
        <f ca="1">IFERROR(VLOOKUP(ROWS($H$3:H1076),E:F,2,0),"")</f>
        <v/>
      </c>
    </row>
    <row r="1077" spans="1:8" x14ac:dyDescent="0.25">
      <c r="A1077" s="54">
        <v>5050107001</v>
      </c>
      <c r="B1077" s="54">
        <v>50501070</v>
      </c>
      <c r="C1077" s="54">
        <f>RIGHT(Table1[[#This Row],[UACS]],2)*1</f>
        <v>1</v>
      </c>
      <c r="D1077" s="54">
        <v>50501070</v>
      </c>
      <c r="E1077" s="54">
        <f ca="1">IF(ISNUMBER(SEARCH($I$1,F1077)),MAX($E$2:E1076)+1,0)</f>
        <v>0</v>
      </c>
      <c r="F1077" s="56" t="s">
        <v>1153</v>
      </c>
      <c r="H1077" s="55" t="str">
        <f ca="1">IFERROR(VLOOKUP(ROWS($H$3:H1077),E:F,2,0),"")</f>
        <v/>
      </c>
    </row>
    <row r="1078" spans="1:8" x14ac:dyDescent="0.25">
      <c r="A1078" s="54">
        <v>5050107002</v>
      </c>
      <c r="B1078" s="54">
        <v>50501070</v>
      </c>
      <c r="C1078" s="54">
        <f>RIGHT(Table1[[#This Row],[UACS]],2)*1</f>
        <v>2</v>
      </c>
      <c r="D1078" s="54">
        <v>50501070</v>
      </c>
      <c r="E1078" s="54">
        <f ca="1">IF(ISNUMBER(SEARCH($I$1,F1078)),MAX($E$2:E1077)+1,0)</f>
        <v>0</v>
      </c>
      <c r="F1078" s="56" t="s">
        <v>1154</v>
      </c>
      <c r="H1078" s="55" t="str">
        <f ca="1">IFERROR(VLOOKUP(ROWS($H$3:H1078),E:F,2,0),"")</f>
        <v/>
      </c>
    </row>
    <row r="1079" spans="1:8" x14ac:dyDescent="0.25">
      <c r="A1079" s="54">
        <v>5050108001</v>
      </c>
      <c r="B1079" s="54">
        <v>50501080</v>
      </c>
      <c r="C1079" s="54">
        <f>RIGHT(Table1[[#This Row],[UACS]],2)*1</f>
        <v>1</v>
      </c>
      <c r="D1079" s="54">
        <v>50501080</v>
      </c>
      <c r="E1079" s="54">
        <f ca="1">IF(ISNUMBER(SEARCH($I$1,F1079)),MAX($E$2:E1078)+1,0)</f>
        <v>0</v>
      </c>
      <c r="F1079" s="56" t="s">
        <v>1155</v>
      </c>
      <c r="H1079" s="55" t="str">
        <f ca="1">IFERROR(VLOOKUP(ROWS($H$3:H1079),E:F,2,0),"")</f>
        <v/>
      </c>
    </row>
    <row r="1080" spans="1:8" x14ac:dyDescent="0.25">
      <c r="A1080" s="54">
        <v>5050108002</v>
      </c>
      <c r="B1080" s="54">
        <v>50501080</v>
      </c>
      <c r="C1080" s="54">
        <f>RIGHT(Table1[[#This Row],[UACS]],2)*1</f>
        <v>2</v>
      </c>
      <c r="D1080" s="54">
        <v>50501080</v>
      </c>
      <c r="E1080" s="54">
        <f ca="1">IF(ISNUMBER(SEARCH($I$1,F1080)),MAX($E$2:E1079)+1,0)</f>
        <v>0</v>
      </c>
      <c r="F1080" s="56" t="s">
        <v>1156</v>
      </c>
      <c r="H1080" s="55" t="str">
        <f ca="1">IFERROR(VLOOKUP(ROWS($H$3:H1080),E:F,2,0),"")</f>
        <v/>
      </c>
    </row>
    <row r="1081" spans="1:8" x14ac:dyDescent="0.25">
      <c r="A1081" s="54">
        <v>5050108003</v>
      </c>
      <c r="B1081" s="54">
        <v>50501080</v>
      </c>
      <c r="C1081" s="54">
        <f>RIGHT(Table1[[#This Row],[UACS]],2)*1</f>
        <v>3</v>
      </c>
      <c r="D1081" s="54">
        <v>50501080</v>
      </c>
      <c r="E1081" s="54">
        <f ca="1">IF(ISNUMBER(SEARCH($I$1,F1081)),MAX($E$2:E1080)+1,0)</f>
        <v>0</v>
      </c>
      <c r="F1081" s="56" t="s">
        <v>1157</v>
      </c>
      <c r="H1081" s="55" t="str">
        <f ca="1">IFERROR(VLOOKUP(ROWS($H$3:H1081),E:F,2,0),"")</f>
        <v/>
      </c>
    </row>
    <row r="1082" spans="1:8" x14ac:dyDescent="0.25">
      <c r="A1082" s="54">
        <v>5050108099</v>
      </c>
      <c r="B1082" s="54">
        <v>50501080</v>
      </c>
      <c r="C1082" s="54">
        <f>RIGHT(Table1[[#This Row],[UACS]],2)*1</f>
        <v>99</v>
      </c>
      <c r="D1082" s="54">
        <v>50501080</v>
      </c>
      <c r="E1082" s="54">
        <f ca="1">IF(ISNUMBER(SEARCH($I$1,F1082)),MAX($E$2:E1081)+1,0)</f>
        <v>0</v>
      </c>
      <c r="F1082" s="56" t="s">
        <v>1158</v>
      </c>
      <c r="H1082" s="55" t="str">
        <f ca="1">IFERROR(VLOOKUP(ROWS($H$3:H1082),E:F,2,0),"")</f>
        <v/>
      </c>
    </row>
    <row r="1083" spans="1:8" x14ac:dyDescent="0.25">
      <c r="A1083" s="54">
        <v>5050109001</v>
      </c>
      <c r="B1083" s="54">
        <v>50501090</v>
      </c>
      <c r="C1083" s="54">
        <f>RIGHT(Table1[[#This Row],[UACS]],2)*1</f>
        <v>1</v>
      </c>
      <c r="D1083" s="54">
        <v>50501090</v>
      </c>
      <c r="E1083" s="54">
        <f ca="1">IF(ISNUMBER(SEARCH($I$1,F1083)),MAX($E$2:E1082)+1,0)</f>
        <v>0</v>
      </c>
      <c r="F1083" s="56" t="s">
        <v>1159</v>
      </c>
      <c r="H1083" s="55" t="str">
        <f ca="1">IFERROR(VLOOKUP(ROWS($H$3:H1083),E:F,2,0),"")</f>
        <v/>
      </c>
    </row>
    <row r="1084" spans="1:8" x14ac:dyDescent="0.25">
      <c r="A1084" s="54">
        <v>5050109002</v>
      </c>
      <c r="B1084" s="54">
        <v>50501090</v>
      </c>
      <c r="C1084" s="54">
        <f>RIGHT(Table1[[#This Row],[UACS]],2)*1</f>
        <v>2</v>
      </c>
      <c r="D1084" s="54">
        <v>50501090</v>
      </c>
      <c r="E1084" s="54">
        <f ca="1">IF(ISNUMBER(SEARCH($I$1,F1084)),MAX($E$2:E1083)+1,0)</f>
        <v>0</v>
      </c>
      <c r="F1084" s="56" t="s">
        <v>1160</v>
      </c>
      <c r="H1084" s="55" t="str">
        <f ca="1">IFERROR(VLOOKUP(ROWS($H$3:H1084),E:F,2,0),"")</f>
        <v/>
      </c>
    </row>
    <row r="1085" spans="1:8" x14ac:dyDescent="0.25">
      <c r="A1085" s="54">
        <v>5050109003</v>
      </c>
      <c r="B1085" s="54">
        <v>50501090</v>
      </c>
      <c r="C1085" s="54">
        <f>RIGHT(Table1[[#This Row],[UACS]],2)*1</f>
        <v>3</v>
      </c>
      <c r="D1085" s="54">
        <v>50501090</v>
      </c>
      <c r="E1085" s="54">
        <f ca="1">IF(ISNUMBER(SEARCH($I$1,F1085)),MAX($E$2:E1084)+1,0)</f>
        <v>0</v>
      </c>
      <c r="F1085" s="56" t="s">
        <v>1161</v>
      </c>
      <c r="H1085" s="55" t="str">
        <f ca="1">IFERROR(VLOOKUP(ROWS($H$3:H1085),E:F,2,0),"")</f>
        <v/>
      </c>
    </row>
    <row r="1086" spans="1:8" x14ac:dyDescent="0.25">
      <c r="A1086" s="54">
        <v>5050110001</v>
      </c>
      <c r="B1086" s="54">
        <v>50501100</v>
      </c>
      <c r="C1086" s="54">
        <f>RIGHT(Table1[[#This Row],[UACS]],2)*1</f>
        <v>1</v>
      </c>
      <c r="D1086" s="54">
        <v>50501100</v>
      </c>
      <c r="E1086" s="54">
        <f ca="1">IF(ISNUMBER(SEARCH($I$1,F1086)),MAX($E$2:E1085)+1,0)</f>
        <v>0</v>
      </c>
      <c r="F1086" s="56" t="s">
        <v>1162</v>
      </c>
      <c r="H1086" s="55" t="str">
        <f ca="1">IFERROR(VLOOKUP(ROWS($H$3:H1086),E:F,2,0),"")</f>
        <v/>
      </c>
    </row>
    <row r="1087" spans="1:8" x14ac:dyDescent="0.25">
      <c r="A1087" s="54">
        <v>5050110002</v>
      </c>
      <c r="B1087" s="54">
        <v>50501100</v>
      </c>
      <c r="C1087" s="54">
        <f>RIGHT(Table1[[#This Row],[UACS]],2)*1</f>
        <v>2</v>
      </c>
      <c r="D1087" s="54">
        <v>50501100</v>
      </c>
      <c r="E1087" s="54">
        <f ca="1">IF(ISNUMBER(SEARCH($I$1,F1087)),MAX($E$2:E1086)+1,0)</f>
        <v>0</v>
      </c>
      <c r="F1087" s="56" t="s">
        <v>1163</v>
      </c>
      <c r="H1087" s="55" t="str">
        <f ca="1">IFERROR(VLOOKUP(ROWS($H$3:H1087),E:F,2,0),"")</f>
        <v/>
      </c>
    </row>
    <row r="1088" spans="1:8" x14ac:dyDescent="0.25">
      <c r="A1088" s="54">
        <v>5050110003</v>
      </c>
      <c r="B1088" s="54">
        <v>50501100</v>
      </c>
      <c r="C1088" s="54">
        <f>RIGHT(Table1[[#This Row],[UACS]],2)*1</f>
        <v>3</v>
      </c>
      <c r="D1088" s="54">
        <v>50501100</v>
      </c>
      <c r="E1088" s="54">
        <f ca="1">IF(ISNUMBER(SEARCH($I$1,F1088)),MAX($E$2:E1087)+1,0)</f>
        <v>0</v>
      </c>
      <c r="F1088" s="56" t="s">
        <v>1164</v>
      </c>
      <c r="H1088" s="55" t="str">
        <f ca="1">IFERROR(VLOOKUP(ROWS($H$3:H1088),E:F,2,0),"")</f>
        <v/>
      </c>
    </row>
    <row r="1089" spans="1:8" x14ac:dyDescent="0.25">
      <c r="A1089" s="54">
        <v>5050111001</v>
      </c>
      <c r="B1089" s="54">
        <v>50501110</v>
      </c>
      <c r="C1089" s="54">
        <f>RIGHT(Table1[[#This Row],[UACS]],2)*1</f>
        <v>1</v>
      </c>
      <c r="D1089" s="54">
        <v>50501110</v>
      </c>
      <c r="E1089" s="54">
        <f ca="1">IF(ISNUMBER(SEARCH($I$1,F1089)),MAX($E$2:E1088)+1,0)</f>
        <v>0</v>
      </c>
      <c r="F1089" s="56" t="s">
        <v>1165</v>
      </c>
      <c r="H1089" s="55" t="str">
        <f ca="1">IFERROR(VLOOKUP(ROWS($H$3:H1089),E:F,2,0),"")</f>
        <v/>
      </c>
    </row>
    <row r="1090" spans="1:8" x14ac:dyDescent="0.25">
      <c r="A1090" s="54">
        <v>5050111002</v>
      </c>
      <c r="B1090" s="54">
        <v>50501110</v>
      </c>
      <c r="C1090" s="54">
        <f>RIGHT(Table1[[#This Row],[UACS]],2)*1</f>
        <v>2</v>
      </c>
      <c r="D1090" s="54">
        <v>50501110</v>
      </c>
      <c r="E1090" s="54">
        <f ca="1">IF(ISNUMBER(SEARCH($I$1,F1090)),MAX($E$2:E1089)+1,0)</f>
        <v>0</v>
      </c>
      <c r="F1090" s="56" t="s">
        <v>1166</v>
      </c>
      <c r="H1090" s="55" t="str">
        <f ca="1">IFERROR(VLOOKUP(ROWS($H$3:H1090),E:F,2,0),"")</f>
        <v/>
      </c>
    </row>
    <row r="1091" spans="1:8" x14ac:dyDescent="0.25">
      <c r="A1091" s="54">
        <v>5050111003</v>
      </c>
      <c r="B1091" s="54">
        <v>50501110</v>
      </c>
      <c r="C1091" s="54">
        <f>RIGHT(Table1[[#This Row],[UACS]],2)*1</f>
        <v>3</v>
      </c>
      <c r="D1091" s="54">
        <v>50501110</v>
      </c>
      <c r="E1091" s="54">
        <f ca="1">IF(ISNUMBER(SEARCH($I$1,F1091)),MAX($E$2:E1090)+1,0)</f>
        <v>0</v>
      </c>
      <c r="F1091" s="56" t="s">
        <v>1167</v>
      </c>
      <c r="H1091" s="55" t="str">
        <f ca="1">IFERROR(VLOOKUP(ROWS($H$3:H1091),E:F,2,0),"")</f>
        <v/>
      </c>
    </row>
    <row r="1092" spans="1:8" x14ac:dyDescent="0.25">
      <c r="A1092" s="54">
        <v>5050111004</v>
      </c>
      <c r="B1092" s="54">
        <v>50501110</v>
      </c>
      <c r="C1092" s="54">
        <f>RIGHT(Table1[[#This Row],[UACS]],2)*1</f>
        <v>4</v>
      </c>
      <c r="D1092" s="54">
        <v>50501110</v>
      </c>
      <c r="E1092" s="54">
        <f ca="1">IF(ISNUMBER(SEARCH($I$1,F1092)),MAX($E$2:E1091)+1,0)</f>
        <v>0</v>
      </c>
      <c r="F1092" s="56" t="s">
        <v>1168</v>
      </c>
      <c r="H1092" s="55" t="str">
        <f ca="1">IFERROR(VLOOKUP(ROWS($H$3:H1092),E:F,2,0),"")</f>
        <v/>
      </c>
    </row>
    <row r="1093" spans="1:8" x14ac:dyDescent="0.25">
      <c r="A1093" s="54">
        <v>5050111005</v>
      </c>
      <c r="B1093" s="54">
        <v>50501110</v>
      </c>
      <c r="C1093" s="54">
        <f>RIGHT(Table1[[#This Row],[UACS]],2)*1</f>
        <v>5</v>
      </c>
      <c r="D1093" s="54">
        <v>50501110</v>
      </c>
      <c r="E1093" s="54">
        <f ca="1">IF(ISNUMBER(SEARCH($I$1,F1093)),MAX($E$2:E1092)+1,0)</f>
        <v>0</v>
      </c>
      <c r="F1093" s="56" t="s">
        <v>1169</v>
      </c>
      <c r="H1093" s="55" t="str">
        <f ca="1">IFERROR(VLOOKUP(ROWS($H$3:H1093),E:F,2,0),"")</f>
        <v/>
      </c>
    </row>
    <row r="1094" spans="1:8" x14ac:dyDescent="0.25">
      <c r="A1094" s="54">
        <v>5050111006</v>
      </c>
      <c r="B1094" s="54">
        <v>50501110</v>
      </c>
      <c r="C1094" s="54">
        <f>RIGHT(Table1[[#This Row],[UACS]],2)*1</f>
        <v>6</v>
      </c>
      <c r="D1094" s="54">
        <v>50501110</v>
      </c>
      <c r="E1094" s="54">
        <f ca="1">IF(ISNUMBER(SEARCH($I$1,F1094)),MAX($E$2:E1093)+1,0)</f>
        <v>0</v>
      </c>
      <c r="F1094" s="56" t="s">
        <v>1170</v>
      </c>
      <c r="H1094" s="55" t="str">
        <f ca="1">IFERROR(VLOOKUP(ROWS($H$3:H1094),E:F,2,0),"")</f>
        <v/>
      </c>
    </row>
    <row r="1095" spans="1:8" x14ac:dyDescent="0.25">
      <c r="A1095" s="54">
        <v>5050111007</v>
      </c>
      <c r="B1095" s="54">
        <v>50501110</v>
      </c>
      <c r="C1095" s="54">
        <f>RIGHT(Table1[[#This Row],[UACS]],2)*1</f>
        <v>7</v>
      </c>
      <c r="D1095" s="54">
        <v>50501110</v>
      </c>
      <c r="E1095" s="54">
        <f ca="1">IF(ISNUMBER(SEARCH($I$1,F1095)),MAX($E$2:E1094)+1,0)</f>
        <v>0</v>
      </c>
      <c r="F1095" s="56" t="s">
        <v>1171</v>
      </c>
      <c r="H1095" s="55" t="str">
        <f ca="1">IFERROR(VLOOKUP(ROWS($H$3:H1095),E:F,2,0),"")</f>
        <v/>
      </c>
    </row>
    <row r="1096" spans="1:8" x14ac:dyDescent="0.25">
      <c r="A1096" s="54">
        <v>5050111008</v>
      </c>
      <c r="B1096" s="54">
        <v>50501110</v>
      </c>
      <c r="C1096" s="54">
        <f>RIGHT(Table1[[#This Row],[UACS]],2)*1</f>
        <v>8</v>
      </c>
      <c r="D1096" s="54">
        <v>50501110</v>
      </c>
      <c r="E1096" s="54">
        <f ca="1">IF(ISNUMBER(SEARCH($I$1,F1096)),MAX($E$2:E1095)+1,0)</f>
        <v>0</v>
      </c>
      <c r="F1096" s="56" t="s">
        <v>1172</v>
      </c>
      <c r="H1096" s="55" t="str">
        <f ca="1">IFERROR(VLOOKUP(ROWS($H$3:H1096),E:F,2,0),"")</f>
        <v/>
      </c>
    </row>
    <row r="1097" spans="1:8" x14ac:dyDescent="0.25">
      <c r="A1097" s="54">
        <v>5050111009</v>
      </c>
      <c r="B1097" s="54">
        <v>50501110</v>
      </c>
      <c r="C1097" s="54">
        <f>RIGHT(Table1[[#This Row],[UACS]],2)*1</f>
        <v>9</v>
      </c>
      <c r="D1097" s="54">
        <v>50501110</v>
      </c>
      <c r="E1097" s="54">
        <f ca="1">IF(ISNUMBER(SEARCH($I$1,F1097)),MAX($E$2:E1096)+1,0)</f>
        <v>0</v>
      </c>
      <c r="F1097" s="56" t="s">
        <v>1173</v>
      </c>
      <c r="H1097" s="55" t="str">
        <f ca="1">IFERROR(VLOOKUP(ROWS($H$3:H1097),E:F,2,0),"")</f>
        <v/>
      </c>
    </row>
    <row r="1098" spans="1:8" x14ac:dyDescent="0.25">
      <c r="A1098" s="54">
        <v>5050111010</v>
      </c>
      <c r="B1098" s="54">
        <v>50501110</v>
      </c>
      <c r="C1098" s="54">
        <f>RIGHT(Table1[[#This Row],[UACS]],2)*1</f>
        <v>10</v>
      </c>
      <c r="D1098" s="54">
        <v>50501110</v>
      </c>
      <c r="E1098" s="54">
        <f ca="1">IF(ISNUMBER(SEARCH($I$1,F1098)),MAX($E$2:E1097)+1,0)</f>
        <v>0</v>
      </c>
      <c r="F1098" s="56" t="s">
        <v>1174</v>
      </c>
      <c r="H1098" s="55" t="str">
        <f ca="1">IFERROR(VLOOKUP(ROWS($H$3:H1098),E:F,2,0),"")</f>
        <v/>
      </c>
    </row>
    <row r="1099" spans="1:8" x14ac:dyDescent="0.25">
      <c r="A1099" s="54">
        <v>5050111011</v>
      </c>
      <c r="B1099" s="54">
        <v>50501110</v>
      </c>
      <c r="C1099" s="54">
        <f>RIGHT(Table1[[#This Row],[UACS]],2)*1</f>
        <v>11</v>
      </c>
      <c r="D1099" s="54">
        <v>50501110</v>
      </c>
      <c r="E1099" s="54">
        <f ca="1">IF(ISNUMBER(SEARCH($I$1,F1099)),MAX($E$2:E1098)+1,0)</f>
        <v>0</v>
      </c>
      <c r="F1099" s="56" t="s">
        <v>1175</v>
      </c>
      <c r="H1099" s="55" t="str">
        <f ca="1">IFERROR(VLOOKUP(ROWS($H$3:H1099),E:F,2,0),"")</f>
        <v/>
      </c>
    </row>
    <row r="1100" spans="1:8" x14ac:dyDescent="0.25">
      <c r="A1100" s="54">
        <v>5050111099</v>
      </c>
      <c r="B1100" s="54">
        <v>50501110</v>
      </c>
      <c r="C1100" s="54">
        <f>RIGHT(Table1[[#This Row],[UACS]],2)*1</f>
        <v>99</v>
      </c>
      <c r="D1100" s="54">
        <v>50501110</v>
      </c>
      <c r="E1100" s="54">
        <f ca="1">IF(ISNUMBER(SEARCH($I$1,F1100)),MAX($E$2:E1099)+1,0)</f>
        <v>0</v>
      </c>
      <c r="F1100" s="56" t="s">
        <v>1176</v>
      </c>
      <c r="H1100" s="55" t="str">
        <f ca="1">IFERROR(VLOOKUP(ROWS($H$3:H1100),E:F,2,0),"")</f>
        <v/>
      </c>
    </row>
    <row r="1101" spans="1:8" x14ac:dyDescent="0.25">
      <c r="A1101" s="54">
        <v>5050199001</v>
      </c>
      <c r="B1101" s="54">
        <v>50501990</v>
      </c>
      <c r="C1101" s="54">
        <f>RIGHT(Table1[[#This Row],[UACS]],2)*1</f>
        <v>1</v>
      </c>
      <c r="D1101" s="54">
        <v>50501990</v>
      </c>
      <c r="E1101" s="54">
        <f ca="1">IF(ISNUMBER(SEARCH($I$1,F1101)),MAX($E$2:E1100)+1,0)</f>
        <v>0</v>
      </c>
      <c r="F1101" s="56" t="s">
        <v>1177</v>
      </c>
      <c r="H1101" s="55" t="str">
        <f ca="1">IFERROR(VLOOKUP(ROWS($H$3:H1101),E:F,2,0),"")</f>
        <v/>
      </c>
    </row>
    <row r="1102" spans="1:8" x14ac:dyDescent="0.25">
      <c r="A1102" s="54">
        <v>5050199099</v>
      </c>
      <c r="B1102" s="54">
        <v>50501990</v>
      </c>
      <c r="C1102" s="54">
        <f>RIGHT(Table1[[#This Row],[UACS]],2)*1</f>
        <v>99</v>
      </c>
      <c r="D1102" s="54">
        <v>50501990</v>
      </c>
      <c r="E1102" s="54">
        <f ca="1">IF(ISNUMBER(SEARCH($I$1,F1102)),MAX($E$2:E1101)+1,0)</f>
        <v>0</v>
      </c>
      <c r="F1102" s="56" t="s">
        <v>1178</v>
      </c>
      <c r="H1102" s="55" t="str">
        <f ca="1">IFERROR(VLOOKUP(ROWS($H$3:H1102),E:F,2,0),"")</f>
        <v/>
      </c>
    </row>
    <row r="1103" spans="1:8" x14ac:dyDescent="0.25">
      <c r="A1103" s="54">
        <v>5050201001</v>
      </c>
      <c r="B1103" s="54">
        <v>50502010</v>
      </c>
      <c r="C1103" s="54">
        <f>RIGHT(Table1[[#This Row],[UACS]],2)*1</f>
        <v>1</v>
      </c>
      <c r="D1103" s="54">
        <v>50502010</v>
      </c>
      <c r="E1103" s="54">
        <f ca="1">IF(ISNUMBER(SEARCH($I$1,F1103)),MAX($E$2:E1102)+1,0)</f>
        <v>0</v>
      </c>
      <c r="F1103" s="56" t="s">
        <v>1179</v>
      </c>
      <c r="H1103" s="55" t="str">
        <f ca="1">IFERROR(VLOOKUP(ROWS($H$3:H1103),E:F,2,0),"")</f>
        <v/>
      </c>
    </row>
    <row r="1104" spans="1:8" x14ac:dyDescent="0.25">
      <c r="A1104" s="54">
        <v>5050201002</v>
      </c>
      <c r="B1104" s="54">
        <v>50502010</v>
      </c>
      <c r="C1104" s="54">
        <f>RIGHT(Table1[[#This Row],[UACS]],2)*1</f>
        <v>2</v>
      </c>
      <c r="D1104" s="54">
        <v>50502010</v>
      </c>
      <c r="E1104" s="54">
        <f ca="1">IF(ISNUMBER(SEARCH($I$1,F1104)),MAX($E$2:E1103)+1,0)</f>
        <v>0</v>
      </c>
      <c r="F1104" s="56" t="s">
        <v>1180</v>
      </c>
      <c r="H1104" s="55" t="str">
        <f ca="1">IFERROR(VLOOKUP(ROWS($H$3:H1104),E:F,2,0),"")</f>
        <v/>
      </c>
    </row>
    <row r="1105" spans="1:8" x14ac:dyDescent="0.25">
      <c r="A1105" s="54">
        <v>5050201099</v>
      </c>
      <c r="B1105" s="54">
        <v>50502010</v>
      </c>
      <c r="C1105" s="54">
        <f>RIGHT(Table1[[#This Row],[UACS]],2)*1</f>
        <v>99</v>
      </c>
      <c r="D1105" s="54">
        <v>50502010</v>
      </c>
      <c r="E1105" s="54">
        <f ca="1">IF(ISNUMBER(SEARCH($I$1,F1105)),MAX($E$2:E1104)+1,0)</f>
        <v>0</v>
      </c>
      <c r="F1105" s="56" t="s">
        <v>1181</v>
      </c>
      <c r="H1105" s="55" t="str">
        <f ca="1">IFERROR(VLOOKUP(ROWS($H$3:H1105),E:F,2,0),"")</f>
        <v/>
      </c>
    </row>
    <row r="1106" spans="1:8" x14ac:dyDescent="0.25">
      <c r="A1106" s="54">
        <v>5050301000</v>
      </c>
      <c r="B1106" s="54">
        <v>50503010</v>
      </c>
      <c r="C1106" s="54">
        <f>RIGHT(Table1[[#This Row],[UACS]],2)*1</f>
        <v>0</v>
      </c>
      <c r="D1106" s="54">
        <v>50503010</v>
      </c>
      <c r="E1106" s="54">
        <f ca="1">IF(ISNUMBER(SEARCH($I$1,F1106)),MAX($E$2:E1105)+1,0)</f>
        <v>0</v>
      </c>
      <c r="F1106" s="56" t="s">
        <v>1182</v>
      </c>
      <c r="H1106" s="55" t="str">
        <f ca="1">IFERROR(VLOOKUP(ROWS($H$3:H1106),E:F,2,0),"")</f>
        <v/>
      </c>
    </row>
    <row r="1107" spans="1:8" x14ac:dyDescent="0.25">
      <c r="A1107" s="54">
        <v>5050302000</v>
      </c>
      <c r="B1107" s="54">
        <v>50503020</v>
      </c>
      <c r="C1107" s="54">
        <f>RIGHT(Table1[[#This Row],[UACS]],2)*1</f>
        <v>0</v>
      </c>
      <c r="D1107" s="54">
        <v>50503020</v>
      </c>
      <c r="E1107" s="54">
        <f ca="1">IF(ISNUMBER(SEARCH($I$1,F1107)),MAX($E$2:E1106)+1,0)</f>
        <v>0</v>
      </c>
      <c r="F1107" s="56" t="s">
        <v>1183</v>
      </c>
      <c r="H1107" s="55" t="str">
        <f ca="1">IFERROR(VLOOKUP(ROWS($H$3:H1107),E:F,2,0),"")</f>
        <v/>
      </c>
    </row>
    <row r="1108" spans="1:8" x14ac:dyDescent="0.25">
      <c r="A1108" s="54">
        <v>5050303000</v>
      </c>
      <c r="B1108" s="54">
        <v>50503030</v>
      </c>
      <c r="C1108" s="54">
        <f>RIGHT(Table1[[#This Row],[UACS]],2)*1</f>
        <v>0</v>
      </c>
      <c r="D1108" s="54">
        <v>50503030</v>
      </c>
      <c r="E1108" s="54">
        <f ca="1">IF(ISNUMBER(SEARCH($I$1,F1108)),MAX($E$2:E1107)+1,0)</f>
        <v>0</v>
      </c>
      <c r="F1108" s="56" t="s">
        <v>1184</v>
      </c>
      <c r="H1108" s="55" t="str">
        <f ca="1">IFERROR(VLOOKUP(ROWS($H$3:H1108),E:F,2,0),"")</f>
        <v/>
      </c>
    </row>
    <row r="1109" spans="1:8" x14ac:dyDescent="0.25">
      <c r="A1109" s="54">
        <v>5050304000</v>
      </c>
      <c r="B1109" s="54">
        <v>50503040</v>
      </c>
      <c r="C1109" s="54">
        <f>RIGHT(Table1[[#This Row],[UACS]],2)*1</f>
        <v>0</v>
      </c>
      <c r="D1109" s="54">
        <v>50503040</v>
      </c>
      <c r="E1109" s="54">
        <f ca="1">IF(ISNUMBER(SEARCH($I$1,F1109)),MAX($E$2:E1108)+1,0)</f>
        <v>0</v>
      </c>
      <c r="F1109" s="56" t="s">
        <v>1185</v>
      </c>
      <c r="H1109" s="55" t="str">
        <f ca="1">IFERROR(VLOOKUP(ROWS($H$3:H1109),E:F,2,0),"")</f>
        <v/>
      </c>
    </row>
    <row r="1110" spans="1:8" x14ac:dyDescent="0.25">
      <c r="A1110" s="54">
        <v>5050305000</v>
      </c>
      <c r="B1110" s="54">
        <v>50503050</v>
      </c>
      <c r="C1110" s="54">
        <f>RIGHT(Table1[[#This Row],[UACS]],2)*1</f>
        <v>0</v>
      </c>
      <c r="D1110" s="54">
        <v>50503050</v>
      </c>
      <c r="E1110" s="54">
        <f ca="1">IF(ISNUMBER(SEARCH($I$1,F1110)),MAX($E$2:E1109)+1,0)</f>
        <v>0</v>
      </c>
      <c r="F1110" s="56" t="s">
        <v>1186</v>
      </c>
      <c r="H1110" s="55" t="str">
        <f ca="1">IFERROR(VLOOKUP(ROWS($H$3:H1110),E:F,2,0),"")</f>
        <v/>
      </c>
    </row>
    <row r="1111" spans="1:8" x14ac:dyDescent="0.25">
      <c r="A1111" s="54">
        <v>5050306000</v>
      </c>
      <c r="B1111" s="54">
        <v>50503060</v>
      </c>
      <c r="C1111" s="54">
        <f>RIGHT(Table1[[#This Row],[UACS]],2)*1</f>
        <v>0</v>
      </c>
      <c r="D1111" s="54">
        <v>50503060</v>
      </c>
      <c r="E1111" s="54">
        <f ca="1">IF(ISNUMBER(SEARCH($I$1,F1111)),MAX($E$2:E1110)+1,0)</f>
        <v>0</v>
      </c>
      <c r="F1111" s="56" t="s">
        <v>1187</v>
      </c>
      <c r="H1111" s="55" t="str">
        <f ca="1">IFERROR(VLOOKUP(ROWS($H$3:H1111),E:F,2,0),"")</f>
        <v/>
      </c>
    </row>
    <row r="1112" spans="1:8" x14ac:dyDescent="0.25">
      <c r="A1112" s="54">
        <v>5050307000</v>
      </c>
      <c r="B1112" s="54">
        <v>50503070</v>
      </c>
      <c r="C1112" s="54">
        <f>RIGHT(Table1[[#This Row],[UACS]],2)*1</f>
        <v>0</v>
      </c>
      <c r="D1112" s="54">
        <v>50503070</v>
      </c>
      <c r="E1112" s="54">
        <f ca="1">IF(ISNUMBER(SEARCH($I$1,F1112)),MAX($E$2:E1111)+1,0)</f>
        <v>0</v>
      </c>
      <c r="F1112" s="56" t="s">
        <v>1188</v>
      </c>
      <c r="H1112" s="55" t="str">
        <f ca="1">IFERROR(VLOOKUP(ROWS($H$3:H1112),E:F,2,0),"")</f>
        <v/>
      </c>
    </row>
    <row r="1113" spans="1:8" x14ac:dyDescent="0.25">
      <c r="A1113" s="54">
        <v>5050308001</v>
      </c>
      <c r="B1113" s="54">
        <v>50503080</v>
      </c>
      <c r="C1113" s="54">
        <f>RIGHT(Table1[[#This Row],[UACS]],2)*1</f>
        <v>1</v>
      </c>
      <c r="D1113" s="54">
        <v>50503080</v>
      </c>
      <c r="E1113" s="54">
        <f ca="1">IF(ISNUMBER(SEARCH($I$1,F1113)),MAX($E$2:E1112)+1,0)</f>
        <v>0</v>
      </c>
      <c r="F1113" s="56" t="s">
        <v>1189</v>
      </c>
      <c r="H1113" s="55" t="str">
        <f ca="1">IFERROR(VLOOKUP(ROWS($H$3:H1113),E:F,2,0),"")</f>
        <v/>
      </c>
    </row>
    <row r="1114" spans="1:8" x14ac:dyDescent="0.25">
      <c r="A1114" s="54">
        <v>5050308002</v>
      </c>
      <c r="B1114" s="54">
        <v>50503080</v>
      </c>
      <c r="C1114" s="54">
        <f>RIGHT(Table1[[#This Row],[UACS]],2)*1</f>
        <v>2</v>
      </c>
      <c r="D1114" s="54">
        <v>50503080</v>
      </c>
      <c r="E1114" s="54">
        <f ca="1">IF(ISNUMBER(SEARCH($I$1,F1114)),MAX($E$2:E1113)+1,0)</f>
        <v>0</v>
      </c>
      <c r="F1114" s="56" t="s">
        <v>1190</v>
      </c>
      <c r="H1114" s="55" t="str">
        <f ca="1">IFERROR(VLOOKUP(ROWS($H$3:H1114),E:F,2,0),"")</f>
        <v/>
      </c>
    </row>
    <row r="1115" spans="1:8" x14ac:dyDescent="0.25">
      <c r="A1115" s="54">
        <v>5050309000</v>
      </c>
      <c r="B1115" s="54">
        <v>50503090</v>
      </c>
      <c r="C1115" s="54">
        <f>RIGHT(Table1[[#This Row],[UACS]],2)*1</f>
        <v>0</v>
      </c>
      <c r="D1115" s="54">
        <v>50503090</v>
      </c>
      <c r="E1115" s="54">
        <f ca="1">IF(ISNUMBER(SEARCH($I$1,F1115)),MAX($E$2:E1114)+1,0)</f>
        <v>0</v>
      </c>
      <c r="F1115" s="56" t="s">
        <v>1191</v>
      </c>
      <c r="H1115" s="55" t="str">
        <f ca="1">IFERROR(VLOOKUP(ROWS($H$3:H1115),E:F,2,0),"")</f>
        <v/>
      </c>
    </row>
    <row r="1116" spans="1:8" x14ac:dyDescent="0.25">
      <c r="A1116" s="54">
        <v>5050310000</v>
      </c>
      <c r="B1116" s="54">
        <v>50503100</v>
      </c>
      <c r="C1116" s="54">
        <f>RIGHT(Table1[[#This Row],[UACS]],2)*1</f>
        <v>0</v>
      </c>
      <c r="D1116" s="54">
        <v>50503100</v>
      </c>
      <c r="E1116" s="54">
        <f ca="1">IF(ISNUMBER(SEARCH($I$1,F1116)),MAX($E$2:E1115)+1,0)</f>
        <v>0</v>
      </c>
      <c r="F1116" s="56" t="s">
        <v>1192</v>
      </c>
      <c r="H1116" s="55" t="str">
        <f ca="1">IFERROR(VLOOKUP(ROWS($H$3:H1116),E:F,2,0),"")</f>
        <v/>
      </c>
    </row>
    <row r="1117" spans="1:8" x14ac:dyDescent="0.25">
      <c r="A1117" s="54">
        <v>5050311001</v>
      </c>
      <c r="B1117" s="54">
        <v>50503110</v>
      </c>
      <c r="C1117" s="54">
        <f>RIGHT(Table1[[#This Row],[UACS]],2)*1</f>
        <v>1</v>
      </c>
      <c r="D1117" s="54">
        <v>50503110</v>
      </c>
      <c r="E1117" s="54">
        <f ca="1">IF(ISNUMBER(SEARCH($I$1,F1117)),MAX($E$2:E1116)+1,0)</f>
        <v>0</v>
      </c>
      <c r="F1117" s="56" t="s">
        <v>1193</v>
      </c>
      <c r="H1117" s="55" t="str">
        <f ca="1">IFERROR(VLOOKUP(ROWS($H$3:H1117),E:F,2,0),"")</f>
        <v/>
      </c>
    </row>
    <row r="1118" spans="1:8" x14ac:dyDescent="0.25">
      <c r="A1118" s="54">
        <v>5050311002</v>
      </c>
      <c r="B1118" s="54">
        <v>50503110</v>
      </c>
      <c r="C1118" s="54">
        <f>RIGHT(Table1[[#This Row],[UACS]],2)*1</f>
        <v>2</v>
      </c>
      <c r="D1118" s="54">
        <v>50503110</v>
      </c>
      <c r="E1118" s="54">
        <f ca="1">IF(ISNUMBER(SEARCH($I$1,F1118)),MAX($E$2:E1117)+1,0)</f>
        <v>0</v>
      </c>
      <c r="F1118" s="56" t="s">
        <v>1194</v>
      </c>
      <c r="H1118" s="55" t="str">
        <f ca="1">IFERROR(VLOOKUP(ROWS($H$3:H1118),E:F,2,0),"")</f>
        <v/>
      </c>
    </row>
    <row r="1119" spans="1:8" x14ac:dyDescent="0.25">
      <c r="A1119" s="54">
        <v>5050311003</v>
      </c>
      <c r="B1119" s="54">
        <v>50503110</v>
      </c>
      <c r="C1119" s="54">
        <f>RIGHT(Table1[[#This Row],[UACS]],2)*1</f>
        <v>3</v>
      </c>
      <c r="D1119" s="54">
        <v>50503110</v>
      </c>
      <c r="E1119" s="54">
        <f ca="1">IF(ISNUMBER(SEARCH($I$1,F1119)),MAX($E$2:E1118)+1,0)</f>
        <v>0</v>
      </c>
      <c r="F1119" s="56" t="s">
        <v>1195</v>
      </c>
      <c r="H1119" s="55" t="str">
        <f ca="1">IFERROR(VLOOKUP(ROWS($H$3:H1119),E:F,2,0),"")</f>
        <v/>
      </c>
    </row>
    <row r="1120" spans="1:8" x14ac:dyDescent="0.25">
      <c r="A1120" s="54">
        <v>5050311099</v>
      </c>
      <c r="B1120" s="54">
        <v>50503110</v>
      </c>
      <c r="C1120" s="54">
        <f>RIGHT(Table1[[#This Row],[UACS]],2)*1</f>
        <v>99</v>
      </c>
      <c r="D1120" s="54">
        <v>50503110</v>
      </c>
      <c r="E1120" s="54">
        <f ca="1">IF(ISNUMBER(SEARCH($I$1,F1120)),MAX($E$2:E1119)+1,0)</f>
        <v>0</v>
      </c>
      <c r="F1120" s="56" t="s">
        <v>1196</v>
      </c>
      <c r="H1120" s="55" t="str">
        <f ca="1">IFERROR(VLOOKUP(ROWS($H$3:H1120),E:F,2,0),"")</f>
        <v/>
      </c>
    </row>
    <row r="1121" spans="1:8" x14ac:dyDescent="0.25">
      <c r="A1121" s="54">
        <v>5050312000</v>
      </c>
      <c r="B1121" s="54">
        <v>50503120</v>
      </c>
      <c r="C1121" s="54">
        <f>RIGHT(Table1[[#This Row],[UACS]],2)*1</f>
        <v>0</v>
      </c>
      <c r="D1121" s="54">
        <v>50503120</v>
      </c>
      <c r="E1121" s="54">
        <f ca="1">IF(ISNUMBER(SEARCH($I$1,F1121)),MAX($E$2:E1120)+1,0)</f>
        <v>0</v>
      </c>
      <c r="F1121" s="56" t="s">
        <v>1197</v>
      </c>
      <c r="H1121" s="55" t="str">
        <f ca="1">IFERROR(VLOOKUP(ROWS($H$3:H1121),E:F,2,0),"")</f>
        <v/>
      </c>
    </row>
    <row r="1122" spans="1:8" x14ac:dyDescent="0.25">
      <c r="A1122" s="54">
        <v>5050399000</v>
      </c>
      <c r="B1122" s="54">
        <v>50503990</v>
      </c>
      <c r="C1122" s="54">
        <f>RIGHT(Table1[[#This Row],[UACS]],2)*1</f>
        <v>0</v>
      </c>
      <c r="D1122" s="54">
        <v>50503990</v>
      </c>
      <c r="E1122" s="54">
        <f ca="1">IF(ISNUMBER(SEARCH($I$1,F1122)),MAX($E$2:E1121)+1,0)</f>
        <v>0</v>
      </c>
      <c r="F1122" s="56" t="s">
        <v>1198</v>
      </c>
      <c r="H1122" s="55" t="str">
        <f ca="1">IFERROR(VLOOKUP(ROWS($H$3:H1122),E:F,2,0),"")</f>
        <v/>
      </c>
    </row>
    <row r="1123" spans="1:8" x14ac:dyDescent="0.25">
      <c r="A1123" s="54">
        <v>5050401000</v>
      </c>
      <c r="B1123" s="54">
        <v>50504010</v>
      </c>
      <c r="C1123" s="54">
        <f>RIGHT(Table1[[#This Row],[UACS]],2)*1</f>
        <v>0</v>
      </c>
      <c r="D1123" s="54">
        <v>50504010</v>
      </c>
      <c r="E1123" s="54">
        <f ca="1">IF(ISNUMBER(SEARCH($I$1,F1123)),MAX($E$2:E1122)+1,0)</f>
        <v>0</v>
      </c>
      <c r="F1123" s="56" t="s">
        <v>1199</v>
      </c>
      <c r="H1123" s="55" t="str">
        <f ca="1">IFERROR(VLOOKUP(ROWS($H$3:H1123),E:F,2,0),"")</f>
        <v/>
      </c>
    </row>
    <row r="1124" spans="1:8" x14ac:dyDescent="0.25">
      <c r="A1124" s="54">
        <v>5050402000</v>
      </c>
      <c r="B1124" s="54">
        <v>50504020</v>
      </c>
      <c r="C1124" s="54">
        <f>RIGHT(Table1[[#This Row],[UACS]],2)*1</f>
        <v>0</v>
      </c>
      <c r="D1124" s="54">
        <v>50504020</v>
      </c>
      <c r="E1124" s="54">
        <f ca="1">IF(ISNUMBER(SEARCH($I$1,F1124)),MAX($E$2:E1123)+1,0)</f>
        <v>0</v>
      </c>
      <c r="F1124" s="56" t="s">
        <v>1200</v>
      </c>
      <c r="H1124" s="55" t="str">
        <f ca="1">IFERROR(VLOOKUP(ROWS($H$3:H1124),E:F,2,0),"")</f>
        <v/>
      </c>
    </row>
    <row r="1125" spans="1:8" x14ac:dyDescent="0.25">
      <c r="A1125" s="54">
        <v>5050403000</v>
      </c>
      <c r="B1125" s="54">
        <v>50504030</v>
      </c>
      <c r="C1125" s="54">
        <f>RIGHT(Table1[[#This Row],[UACS]],2)*1</f>
        <v>0</v>
      </c>
      <c r="D1125" s="54">
        <v>50504030</v>
      </c>
      <c r="E1125" s="54">
        <f ca="1">IF(ISNUMBER(SEARCH($I$1,F1125)),MAX($E$2:E1124)+1,0)</f>
        <v>0</v>
      </c>
      <c r="F1125" s="56" t="s">
        <v>1201</v>
      </c>
      <c r="H1125" s="55" t="str">
        <f ca="1">IFERROR(VLOOKUP(ROWS($H$3:H1125),E:F,2,0),"")</f>
        <v/>
      </c>
    </row>
    <row r="1126" spans="1:8" x14ac:dyDescent="0.25">
      <c r="A1126" s="54">
        <v>5050404000</v>
      </c>
      <c r="B1126" s="54">
        <v>50504040</v>
      </c>
      <c r="C1126" s="54">
        <f>RIGHT(Table1[[#This Row],[UACS]],2)*1</f>
        <v>0</v>
      </c>
      <c r="D1126" s="54">
        <v>50504040</v>
      </c>
      <c r="E1126" s="54">
        <f ca="1">IF(ISNUMBER(SEARCH($I$1,F1126)),MAX($E$2:E1125)+1,0)</f>
        <v>0</v>
      </c>
      <c r="F1126" s="56" t="s">
        <v>1202</v>
      </c>
      <c r="H1126" s="55" t="str">
        <f ca="1">IFERROR(VLOOKUP(ROWS($H$3:H1126),E:F,2,0),"")</f>
        <v/>
      </c>
    </row>
    <row r="1127" spans="1:8" x14ac:dyDescent="0.25">
      <c r="A1127" s="54">
        <v>5050405000</v>
      </c>
      <c r="B1127" s="54">
        <v>50504050</v>
      </c>
      <c r="C1127" s="54">
        <f>RIGHT(Table1[[#This Row],[UACS]],2)*1</f>
        <v>0</v>
      </c>
      <c r="D1127" s="54">
        <v>50504050</v>
      </c>
      <c r="E1127" s="54">
        <f ca="1">IF(ISNUMBER(SEARCH($I$1,F1127)),MAX($E$2:E1126)+1,0)</f>
        <v>0</v>
      </c>
      <c r="F1127" s="56" t="s">
        <v>1203</v>
      </c>
      <c r="H1127" s="55" t="str">
        <f ca="1">IFERROR(VLOOKUP(ROWS($H$3:H1127),E:F,2,0),"")</f>
        <v/>
      </c>
    </row>
    <row r="1128" spans="1:8" x14ac:dyDescent="0.25">
      <c r="A1128" s="54">
        <v>5050406000</v>
      </c>
      <c r="B1128" s="54">
        <v>50504060</v>
      </c>
      <c r="C1128" s="54">
        <f>RIGHT(Table1[[#This Row],[UACS]],2)*1</f>
        <v>0</v>
      </c>
      <c r="D1128" s="54">
        <v>50504060</v>
      </c>
      <c r="E1128" s="54">
        <f ca="1">IF(ISNUMBER(SEARCH($I$1,F1128)),MAX($E$2:E1127)+1,0)</f>
        <v>0</v>
      </c>
      <c r="F1128" s="56" t="s">
        <v>1204</v>
      </c>
      <c r="H1128" s="55" t="str">
        <f ca="1">IFERROR(VLOOKUP(ROWS($H$3:H1128),E:F,2,0),"")</f>
        <v/>
      </c>
    </row>
    <row r="1129" spans="1:8" x14ac:dyDescent="0.25">
      <c r="A1129" s="54">
        <v>5050407000</v>
      </c>
      <c r="B1129" s="54">
        <v>50504070</v>
      </c>
      <c r="C1129" s="54">
        <f>RIGHT(Table1[[#This Row],[UACS]],2)*1</f>
        <v>0</v>
      </c>
      <c r="D1129" s="54">
        <v>50504070</v>
      </c>
      <c r="E1129" s="54">
        <f ca="1">IF(ISNUMBER(SEARCH($I$1,F1129)),MAX($E$2:E1128)+1,0)</f>
        <v>0</v>
      </c>
      <c r="F1129" s="56" t="s">
        <v>1205</v>
      </c>
      <c r="H1129" s="55" t="str">
        <f ca="1">IFERROR(VLOOKUP(ROWS($H$3:H1129),E:F,2,0),"")</f>
        <v/>
      </c>
    </row>
    <row r="1130" spans="1:8" x14ac:dyDescent="0.25">
      <c r="A1130" s="54">
        <v>5050408000</v>
      </c>
      <c r="B1130" s="54">
        <v>50504080</v>
      </c>
      <c r="C1130" s="54">
        <f>RIGHT(Table1[[#This Row],[UACS]],2)*1</f>
        <v>0</v>
      </c>
      <c r="D1130" s="54">
        <v>50504080</v>
      </c>
      <c r="E1130" s="54">
        <f ca="1">IF(ISNUMBER(SEARCH($I$1,F1130)),MAX($E$2:E1129)+1,0)</f>
        <v>0</v>
      </c>
      <c r="F1130" s="56" t="s">
        <v>1206</v>
      </c>
      <c r="H1130" s="55" t="str">
        <f ca="1">IFERROR(VLOOKUP(ROWS($H$3:H1130),E:F,2,0),"")</f>
        <v/>
      </c>
    </row>
    <row r="1131" spans="1:8" x14ac:dyDescent="0.25">
      <c r="A1131" s="54">
        <v>5050409000</v>
      </c>
      <c r="B1131" s="54">
        <v>50504090</v>
      </c>
      <c r="C1131" s="54">
        <f>RIGHT(Table1[[#This Row],[UACS]],2)*1</f>
        <v>0</v>
      </c>
      <c r="D1131" s="54">
        <v>50504090</v>
      </c>
      <c r="E1131" s="54">
        <f ca="1">IF(ISNUMBER(SEARCH($I$1,F1131)),MAX($E$2:E1130)+1,0)</f>
        <v>0</v>
      </c>
      <c r="F1131" s="56" t="s">
        <v>1207</v>
      </c>
      <c r="H1131" s="55" t="str">
        <f ca="1">IFERROR(VLOOKUP(ROWS($H$3:H1131),E:F,2,0),"")</f>
        <v/>
      </c>
    </row>
    <row r="1132" spans="1:8" x14ac:dyDescent="0.25">
      <c r="A1132" s="54">
        <v>5050411000</v>
      </c>
      <c r="B1132" s="54">
        <v>50504110</v>
      </c>
      <c r="C1132" s="54">
        <f>RIGHT(Table1[[#This Row],[UACS]],2)*1</f>
        <v>0</v>
      </c>
      <c r="D1132" s="54">
        <v>50504110</v>
      </c>
      <c r="E1132" s="54">
        <f ca="1">IF(ISNUMBER(SEARCH($I$1,F1132)),MAX($E$2:E1131)+1,0)</f>
        <v>0</v>
      </c>
      <c r="F1132" s="56" t="s">
        <v>1208</v>
      </c>
      <c r="H1132" s="55" t="str">
        <f ca="1">IFERROR(VLOOKUP(ROWS($H$3:H1132),E:F,2,0),"")</f>
        <v/>
      </c>
    </row>
    <row r="1133" spans="1:8" x14ac:dyDescent="0.25">
      <c r="A1133" s="54">
        <v>5050412000</v>
      </c>
      <c r="B1133" s="54">
        <v>50504120</v>
      </c>
      <c r="C1133" s="54">
        <f>RIGHT(Table1[[#This Row],[UACS]],2)*1</f>
        <v>0</v>
      </c>
      <c r="D1133" s="54">
        <v>50504120</v>
      </c>
      <c r="E1133" s="54">
        <f ca="1">IF(ISNUMBER(SEARCH($I$1,F1133)),MAX($E$2:E1132)+1,0)</f>
        <v>0</v>
      </c>
      <c r="F1133" s="56" t="s">
        <v>1209</v>
      </c>
      <c r="H1133" s="55" t="str">
        <f ca="1">IFERROR(VLOOKUP(ROWS($H$3:H1133),E:F,2,0),"")</f>
        <v/>
      </c>
    </row>
    <row r="1134" spans="1:8" x14ac:dyDescent="0.25">
      <c r="A1134" s="54">
        <v>5050413000</v>
      </c>
      <c r="B1134" s="54">
        <v>50504130</v>
      </c>
      <c r="C1134" s="54">
        <f>RIGHT(Table1[[#This Row],[UACS]],2)*1</f>
        <v>0</v>
      </c>
      <c r="D1134" s="54">
        <v>50504130</v>
      </c>
      <c r="E1134" s="54">
        <f ca="1">IF(ISNUMBER(SEARCH($I$1,F1134)),MAX($E$2:E1133)+1,0)</f>
        <v>0</v>
      </c>
      <c r="F1134" s="56" t="s">
        <v>1210</v>
      </c>
      <c r="H1134" s="55" t="str">
        <f ca="1">IFERROR(VLOOKUP(ROWS($H$3:H1134),E:F,2,0),"")</f>
        <v/>
      </c>
    </row>
    <row r="1135" spans="1:8" x14ac:dyDescent="0.25">
      <c r="A1135" s="54">
        <v>5050414000</v>
      </c>
      <c r="B1135" s="54">
        <v>50504140</v>
      </c>
      <c r="C1135" s="54">
        <f>RIGHT(Table1[[#This Row],[UACS]],2)*1</f>
        <v>0</v>
      </c>
      <c r="D1135" s="54">
        <v>50504140</v>
      </c>
      <c r="E1135" s="54">
        <f ca="1">IF(ISNUMBER(SEARCH($I$1,F1135)),MAX($E$2:E1134)+1,0)</f>
        <v>0</v>
      </c>
      <c r="F1135" s="56" t="s">
        <v>1211</v>
      </c>
      <c r="H1135" s="55" t="str">
        <f ca="1">IFERROR(VLOOKUP(ROWS($H$3:H1135),E:F,2,0),"")</f>
        <v/>
      </c>
    </row>
    <row r="1136" spans="1:8" x14ac:dyDescent="0.25">
      <c r="A1136" s="54">
        <v>5050499000</v>
      </c>
      <c r="B1136" s="54">
        <v>50504990</v>
      </c>
      <c r="C1136" s="54">
        <f>RIGHT(Table1[[#This Row],[UACS]],2)*1</f>
        <v>0</v>
      </c>
      <c r="D1136" s="54">
        <v>50504990</v>
      </c>
      <c r="E1136" s="54">
        <f ca="1">IF(ISNUMBER(SEARCH($I$1,F1136)),MAX($E$2:E1135)+1,0)</f>
        <v>0</v>
      </c>
      <c r="F1136" s="56" t="s">
        <v>1212</v>
      </c>
      <c r="H1136" s="55" t="str">
        <f ca="1">IFERROR(VLOOKUP(ROWS($H$3:H1136),E:F,2,0),"")</f>
        <v/>
      </c>
    </row>
    <row r="1137" spans="4:8" x14ac:dyDescent="0.25">
      <c r="D1137" s="55"/>
      <c r="H1137" s="55" t="str">
        <f ca="1">IFERROR(VLOOKUP(ROWS($H$3:H1137),E:F,2,0),"")</f>
        <v/>
      </c>
    </row>
    <row r="1138" spans="4:8" x14ac:dyDescent="0.25">
      <c r="D1138" s="55"/>
      <c r="H1138" s="55" t="str">
        <f ca="1">IFERROR(VLOOKUP(ROWS($H$3:H1138),E:F,2,0),"")</f>
        <v/>
      </c>
    </row>
    <row r="1139" spans="4:8" x14ac:dyDescent="0.25">
      <c r="D1139" s="55"/>
      <c r="H1139" s="55" t="str">
        <f ca="1">IFERROR(VLOOKUP(ROWS($H$3:H1139),E:F,2,0),"")</f>
        <v/>
      </c>
    </row>
    <row r="1140" spans="4:8" x14ac:dyDescent="0.25">
      <c r="D1140" s="55"/>
      <c r="H1140" s="55" t="str">
        <f ca="1">IFERROR(VLOOKUP(ROWS($H$3:H1140),E:F,2,0),"")</f>
        <v/>
      </c>
    </row>
    <row r="1141" spans="4:8" x14ac:dyDescent="0.25">
      <c r="D1141" s="55"/>
      <c r="H1141" s="55" t="str">
        <f ca="1">IFERROR(VLOOKUP(ROWS($H$3:H1141),E:F,2,0),"")</f>
        <v/>
      </c>
    </row>
    <row r="1142" spans="4:8" x14ac:dyDescent="0.25">
      <c r="D1142" s="55"/>
      <c r="H1142" s="55" t="str">
        <f ca="1">IFERROR(VLOOKUP(ROWS($H$3:H1142),E:F,2,0),"")</f>
        <v/>
      </c>
    </row>
    <row r="1143" spans="4:8" x14ac:dyDescent="0.25">
      <c r="D1143" s="55"/>
      <c r="H1143" s="55" t="str">
        <f ca="1">IFERROR(VLOOKUP(ROWS($H$3:H1143),E:F,2,0),"")</f>
        <v/>
      </c>
    </row>
    <row r="1144" spans="4:8" x14ac:dyDescent="0.25">
      <c r="D1144" s="55"/>
      <c r="H1144" s="55" t="str">
        <f ca="1">IFERROR(VLOOKUP(ROWS($H$3:H1144),E:F,2,0),"")</f>
        <v/>
      </c>
    </row>
    <row r="1145" spans="4:8" x14ac:dyDescent="0.25">
      <c r="D1145" s="55"/>
      <c r="H1145" s="55" t="str">
        <f ca="1">IFERROR(VLOOKUP(ROWS($H$3:H1145),E:F,2,0),"")</f>
        <v/>
      </c>
    </row>
    <row r="1146" spans="4:8" x14ac:dyDescent="0.25">
      <c r="D1146" s="55"/>
      <c r="H1146" s="55" t="str">
        <f ca="1">IFERROR(VLOOKUP(ROWS($H$3:H1146),E:F,2,0),"")</f>
        <v/>
      </c>
    </row>
    <row r="1147" spans="4:8" x14ac:dyDescent="0.25">
      <c r="D1147" s="55"/>
      <c r="H1147" s="55" t="str">
        <f ca="1">IFERROR(VLOOKUP(ROWS($H$3:H1147),E:F,2,0),"")</f>
        <v/>
      </c>
    </row>
    <row r="1148" spans="4:8" x14ac:dyDescent="0.25">
      <c r="D1148" s="55"/>
      <c r="H1148" s="55" t="str">
        <f ca="1">IFERROR(VLOOKUP(ROWS($H$3:H1148),E:F,2,0),"")</f>
        <v/>
      </c>
    </row>
    <row r="1149" spans="4:8" x14ac:dyDescent="0.25">
      <c r="D1149" s="55"/>
      <c r="H1149" s="55" t="str">
        <f ca="1">IFERROR(VLOOKUP(ROWS($H$3:H1149),E:F,2,0),"")</f>
        <v/>
      </c>
    </row>
    <row r="1150" spans="4:8" x14ac:dyDescent="0.25">
      <c r="D1150" s="55"/>
      <c r="H1150" s="55" t="str">
        <f ca="1">IFERROR(VLOOKUP(ROWS($H$3:H1150),E:F,2,0),"")</f>
        <v/>
      </c>
    </row>
    <row r="1151" spans="4:8" x14ac:dyDescent="0.25">
      <c r="D1151" s="55"/>
      <c r="H1151" s="55" t="str">
        <f ca="1">IFERROR(VLOOKUP(ROWS($H$3:H1151),E:F,2,0),"")</f>
        <v/>
      </c>
    </row>
    <row r="1152" spans="4:8" x14ac:dyDescent="0.25">
      <c r="D1152" s="55"/>
      <c r="H1152" s="55" t="str">
        <f ca="1">IFERROR(VLOOKUP(ROWS($H$3:H1152),E:F,2,0),"")</f>
        <v/>
      </c>
    </row>
    <row r="1153" spans="4:8" x14ac:dyDescent="0.25">
      <c r="D1153" s="55"/>
      <c r="H1153" s="55" t="str">
        <f ca="1">IFERROR(VLOOKUP(ROWS($H$3:H1153),E:F,2,0),"")</f>
        <v/>
      </c>
    </row>
    <row r="1154" spans="4:8" x14ac:dyDescent="0.25">
      <c r="D1154" s="55"/>
      <c r="H1154" s="55" t="str">
        <f ca="1">IFERROR(VLOOKUP(ROWS($H$3:H1154),E:F,2,0),"")</f>
        <v/>
      </c>
    </row>
    <row r="1155" spans="4:8" x14ac:dyDescent="0.25">
      <c r="D1155" s="55"/>
      <c r="H1155" s="55" t="str">
        <f ca="1">IFERROR(VLOOKUP(ROWS($H$3:H1155),E:F,2,0),"")</f>
        <v/>
      </c>
    </row>
    <row r="1156" spans="4:8" x14ac:dyDescent="0.25">
      <c r="D1156" s="55"/>
      <c r="H1156" s="55" t="str">
        <f ca="1">IFERROR(VLOOKUP(ROWS($H$3:H1156),E:F,2,0),"")</f>
        <v/>
      </c>
    </row>
    <row r="1157" spans="4:8" x14ac:dyDescent="0.25">
      <c r="D1157" s="55"/>
      <c r="H1157" s="55" t="str">
        <f ca="1">IFERROR(VLOOKUP(ROWS($H$3:H1157),E:F,2,0),"")</f>
        <v/>
      </c>
    </row>
    <row r="1158" spans="4:8" x14ac:dyDescent="0.25">
      <c r="D1158" s="55"/>
      <c r="H1158" s="55" t="str">
        <f ca="1">IFERROR(VLOOKUP(ROWS($H$3:H1158),E:F,2,0),"")</f>
        <v/>
      </c>
    </row>
    <row r="1159" spans="4:8" x14ac:dyDescent="0.25">
      <c r="D1159" s="55"/>
      <c r="H1159" s="55" t="str">
        <f ca="1">IFERROR(VLOOKUP(ROWS($H$3:H1159),E:F,2,0),"")</f>
        <v/>
      </c>
    </row>
    <row r="1160" spans="4:8" x14ac:dyDescent="0.25">
      <c r="D1160" s="55"/>
      <c r="H1160" s="55" t="str">
        <f ca="1">IFERROR(VLOOKUP(ROWS($H$3:H1160),E:F,2,0),"")</f>
        <v/>
      </c>
    </row>
    <row r="1161" spans="4:8" x14ac:dyDescent="0.25">
      <c r="D1161" s="55"/>
      <c r="H1161" s="55" t="str">
        <f ca="1">IFERROR(VLOOKUP(ROWS($H$3:H1161),E:F,2,0),"")</f>
        <v/>
      </c>
    </row>
    <row r="1162" spans="4:8" x14ac:dyDescent="0.25">
      <c r="D1162" s="55"/>
      <c r="H1162" s="55" t="str">
        <f ca="1">IFERROR(VLOOKUP(ROWS($H$3:H1162),E:F,2,0),"")</f>
        <v/>
      </c>
    </row>
    <row r="1163" spans="4:8" x14ac:dyDescent="0.25">
      <c r="D1163" s="55"/>
      <c r="H1163" s="55" t="str">
        <f ca="1">IFERROR(VLOOKUP(ROWS($H$3:H1163),E:F,2,0),"")</f>
        <v/>
      </c>
    </row>
    <row r="1164" spans="4:8" x14ac:dyDescent="0.25">
      <c r="D1164" s="55"/>
      <c r="H1164" s="55" t="str">
        <f ca="1">IFERROR(VLOOKUP(ROWS($H$3:H1164),E:F,2,0),"")</f>
        <v/>
      </c>
    </row>
    <row r="1165" spans="4:8" x14ac:dyDescent="0.25">
      <c r="D1165" s="55"/>
      <c r="H1165" s="55" t="str">
        <f ca="1">IFERROR(VLOOKUP(ROWS($H$3:H1165),E:F,2,0),"")</f>
        <v/>
      </c>
    </row>
    <row r="1166" spans="4:8" x14ac:dyDescent="0.25">
      <c r="D1166" s="55"/>
      <c r="H1166" s="55" t="str">
        <f ca="1">IFERROR(VLOOKUP(ROWS($H$3:H1166),E:F,2,0),"")</f>
        <v/>
      </c>
    </row>
    <row r="1167" spans="4:8" x14ac:dyDescent="0.25">
      <c r="D1167" s="55"/>
      <c r="H1167" s="55" t="str">
        <f ca="1">IFERROR(VLOOKUP(ROWS($H$3:H1167),E:F,2,0),"")</f>
        <v/>
      </c>
    </row>
    <row r="1168" spans="4:8" x14ac:dyDescent="0.25">
      <c r="D1168" s="55"/>
      <c r="H1168" s="55" t="str">
        <f ca="1">IFERROR(VLOOKUP(ROWS($H$3:H1168),E:F,2,0),"")</f>
        <v/>
      </c>
    </row>
    <row r="1169" spans="4:8" x14ac:dyDescent="0.25">
      <c r="D1169" s="55"/>
      <c r="H1169" s="55" t="str">
        <f ca="1">IFERROR(VLOOKUP(ROWS($H$3:H1169),E:F,2,0),"")</f>
        <v/>
      </c>
    </row>
    <row r="1170" spans="4:8" x14ac:dyDescent="0.25">
      <c r="D1170" s="55"/>
      <c r="H1170" s="55" t="str">
        <f ca="1">IFERROR(VLOOKUP(ROWS($H$3:H1170),E:F,2,0),"")</f>
        <v/>
      </c>
    </row>
    <row r="1171" spans="4:8" x14ac:dyDescent="0.25">
      <c r="D1171" s="55"/>
      <c r="H1171" s="55" t="str">
        <f ca="1">IFERROR(VLOOKUP(ROWS($H$3:H1171),E:F,2,0),"")</f>
        <v/>
      </c>
    </row>
    <row r="1172" spans="4:8" x14ac:dyDescent="0.25">
      <c r="D1172" s="55"/>
      <c r="H1172" s="55" t="str">
        <f ca="1">IFERROR(VLOOKUP(ROWS($H$3:H1172),E:F,2,0),"")</f>
        <v/>
      </c>
    </row>
    <row r="1173" spans="4:8" x14ac:dyDescent="0.25">
      <c r="D1173" s="55"/>
      <c r="H1173" s="55" t="str">
        <f ca="1">IFERROR(VLOOKUP(ROWS($H$3:H1173),E:F,2,0),"")</f>
        <v/>
      </c>
    </row>
    <row r="1174" spans="4:8" x14ac:dyDescent="0.25">
      <c r="D1174" s="55"/>
      <c r="H1174" s="55" t="str">
        <f ca="1">IFERROR(VLOOKUP(ROWS($H$3:H1174),E:F,2,0),"")</f>
        <v/>
      </c>
    </row>
    <row r="1175" spans="4:8" x14ac:dyDescent="0.25">
      <c r="D1175" s="55"/>
      <c r="H1175" s="55" t="str">
        <f ca="1">IFERROR(VLOOKUP(ROWS($H$3:H1175),E:F,2,0),"")</f>
        <v/>
      </c>
    </row>
    <row r="1176" spans="4:8" x14ac:dyDescent="0.25">
      <c r="D1176" s="55"/>
      <c r="H1176" s="55" t="str">
        <f ca="1">IFERROR(VLOOKUP(ROWS($H$3:H1176),E:F,2,0),"")</f>
        <v/>
      </c>
    </row>
    <row r="1177" spans="4:8" x14ac:dyDescent="0.25">
      <c r="D1177" s="55"/>
      <c r="H1177" s="55" t="str">
        <f ca="1">IFERROR(VLOOKUP(ROWS($H$3:H1177),E:F,2,0),"")</f>
        <v/>
      </c>
    </row>
    <row r="1178" spans="4:8" x14ac:dyDescent="0.25">
      <c r="D1178" s="55"/>
      <c r="H1178" s="55" t="str">
        <f ca="1">IFERROR(VLOOKUP(ROWS($H$3:H1178),E:F,2,0),"")</f>
        <v/>
      </c>
    </row>
    <row r="1179" spans="4:8" x14ac:dyDescent="0.25">
      <c r="D1179" s="55"/>
      <c r="H1179" s="55" t="str">
        <f ca="1">IFERROR(VLOOKUP(ROWS($H$3:H1179),E:F,2,0),"")</f>
        <v/>
      </c>
    </row>
    <row r="1180" spans="4:8" x14ac:dyDescent="0.25">
      <c r="D1180" s="55"/>
      <c r="H1180" s="55" t="str">
        <f ca="1">IFERROR(VLOOKUP(ROWS($H$3:H1180),E:F,2,0),"")</f>
        <v/>
      </c>
    </row>
    <row r="1181" spans="4:8" x14ac:dyDescent="0.25">
      <c r="D1181" s="55"/>
      <c r="H1181" s="55" t="str">
        <f ca="1">IFERROR(VLOOKUP(ROWS($H$3:H1181),E:F,2,0),"")</f>
        <v/>
      </c>
    </row>
    <row r="1182" spans="4:8" x14ac:dyDescent="0.25">
      <c r="D1182" s="55"/>
      <c r="H1182" s="55" t="str">
        <f ca="1">IFERROR(VLOOKUP(ROWS($H$3:H1182),E:F,2,0),"")</f>
        <v/>
      </c>
    </row>
    <row r="1183" spans="4:8" x14ac:dyDescent="0.25">
      <c r="D1183" s="55"/>
      <c r="H1183" s="55" t="str">
        <f ca="1">IFERROR(VLOOKUP(ROWS($H$3:H1183),E:F,2,0),"")</f>
        <v/>
      </c>
    </row>
    <row r="1184" spans="4:8" x14ac:dyDescent="0.25">
      <c r="D1184" s="55"/>
      <c r="H1184" s="55" t="str">
        <f ca="1">IFERROR(VLOOKUP(ROWS($H$3:H1184),E:F,2,0),"")</f>
        <v/>
      </c>
    </row>
    <row r="1185" spans="4:8" x14ac:dyDescent="0.25">
      <c r="D1185" s="55"/>
      <c r="H1185" s="55" t="str">
        <f ca="1">IFERROR(VLOOKUP(ROWS($H$3:H1185),E:F,2,0),"")</f>
        <v/>
      </c>
    </row>
    <row r="1186" spans="4:8" x14ac:dyDescent="0.25">
      <c r="D1186" s="55"/>
      <c r="H1186" s="55" t="str">
        <f ca="1">IFERROR(VLOOKUP(ROWS($H$3:H1186),E:F,2,0),"")</f>
        <v/>
      </c>
    </row>
    <row r="1187" spans="4:8" x14ac:dyDescent="0.25">
      <c r="D1187" s="55"/>
      <c r="H1187" s="55" t="str">
        <f ca="1">IFERROR(VLOOKUP(ROWS($H$3:H1187),E:F,2,0),"")</f>
        <v/>
      </c>
    </row>
    <row r="1188" spans="4:8" x14ac:dyDescent="0.25">
      <c r="D1188" s="55"/>
      <c r="H1188" s="55" t="str">
        <f ca="1">IFERROR(VLOOKUP(ROWS($H$3:H1188),E:F,2,0),"")</f>
        <v/>
      </c>
    </row>
    <row r="1189" spans="4:8" x14ac:dyDescent="0.25">
      <c r="D1189" s="55"/>
      <c r="H1189" s="55" t="str">
        <f ca="1">IFERROR(VLOOKUP(ROWS($H$3:H1189),E:F,2,0),"")</f>
        <v/>
      </c>
    </row>
    <row r="1190" spans="4:8" x14ac:dyDescent="0.25">
      <c r="D1190" s="55"/>
      <c r="H1190" s="55" t="str">
        <f ca="1">IFERROR(VLOOKUP(ROWS($H$3:H1190),E:F,2,0),"")</f>
        <v/>
      </c>
    </row>
    <row r="1191" spans="4:8" x14ac:dyDescent="0.25">
      <c r="D1191" s="55"/>
      <c r="H1191" s="55" t="str">
        <f ca="1">IFERROR(VLOOKUP(ROWS($H$3:H1191),E:F,2,0),"")</f>
        <v/>
      </c>
    </row>
    <row r="1192" spans="4:8" x14ac:dyDescent="0.25">
      <c r="D1192" s="55"/>
      <c r="H1192" s="55" t="str">
        <f ca="1">IFERROR(VLOOKUP(ROWS($H$3:H1192),E:F,2,0),"")</f>
        <v/>
      </c>
    </row>
    <row r="1193" spans="4:8" x14ac:dyDescent="0.25">
      <c r="D1193" s="55"/>
      <c r="H1193" s="55" t="str">
        <f ca="1">IFERROR(VLOOKUP(ROWS($H$3:H1193),E:F,2,0),"")</f>
        <v/>
      </c>
    </row>
    <row r="1194" spans="4:8" x14ac:dyDescent="0.25">
      <c r="D1194" s="55"/>
      <c r="H1194" s="55" t="str">
        <f ca="1">IFERROR(VLOOKUP(ROWS($H$3:H1194),E:F,2,0),"")</f>
        <v/>
      </c>
    </row>
    <row r="1195" spans="4:8" x14ac:dyDescent="0.25">
      <c r="D1195" s="55"/>
      <c r="H1195" s="55" t="str">
        <f ca="1">IFERROR(VLOOKUP(ROWS($H$3:H1195),E:F,2,0),"")</f>
        <v/>
      </c>
    </row>
    <row r="1196" spans="4:8" x14ac:dyDescent="0.25">
      <c r="D1196" s="55"/>
      <c r="H1196" s="55" t="str">
        <f ca="1">IFERROR(VLOOKUP(ROWS($H$3:H1196),E:F,2,0),"")</f>
        <v/>
      </c>
    </row>
    <row r="1197" spans="4:8" x14ac:dyDescent="0.25">
      <c r="D1197" s="55"/>
      <c r="H1197" s="55" t="str">
        <f ca="1">IFERROR(VLOOKUP(ROWS($H$3:H1197),E:F,2,0),"")</f>
        <v/>
      </c>
    </row>
    <row r="1198" spans="4:8" x14ac:dyDescent="0.25">
      <c r="D1198" s="55"/>
      <c r="H1198" s="55" t="str">
        <f ca="1">IFERROR(VLOOKUP(ROWS($H$3:H1198),E:F,2,0),"")</f>
        <v/>
      </c>
    </row>
    <row r="1199" spans="4:8" x14ac:dyDescent="0.25">
      <c r="D1199" s="55"/>
      <c r="H1199" s="55" t="str">
        <f ca="1">IFERROR(VLOOKUP(ROWS($H$3:H1199),E:F,2,0),"")</f>
        <v/>
      </c>
    </row>
    <row r="1200" spans="4:8" x14ac:dyDescent="0.25">
      <c r="D1200" s="55"/>
      <c r="H1200" s="55" t="str">
        <f ca="1">IFERROR(VLOOKUP(ROWS($H$3:H1200),E:F,2,0),"")</f>
        <v/>
      </c>
    </row>
    <row r="1201" spans="4:8" x14ac:dyDescent="0.25">
      <c r="D1201" s="55"/>
      <c r="H1201" s="55" t="str">
        <f ca="1">IFERROR(VLOOKUP(ROWS($H$3:H1201),E:F,2,0),"")</f>
        <v/>
      </c>
    </row>
    <row r="1202" spans="4:8" x14ac:dyDescent="0.25">
      <c r="D1202" s="55"/>
      <c r="H1202" s="55" t="str">
        <f ca="1">IFERROR(VLOOKUP(ROWS($H$3:H1202),E:F,2,0),"")</f>
        <v/>
      </c>
    </row>
    <row r="1203" spans="4:8" x14ac:dyDescent="0.25">
      <c r="D1203" s="55"/>
      <c r="H1203" s="55" t="str">
        <f ca="1">IFERROR(VLOOKUP(ROWS($H$3:H1203),E:F,2,0),"")</f>
        <v/>
      </c>
    </row>
    <row r="1204" spans="4:8" x14ac:dyDescent="0.25">
      <c r="D1204" s="55"/>
      <c r="H1204" s="55" t="str">
        <f ca="1">IFERROR(VLOOKUP(ROWS($H$3:H1204),E:F,2,0),"")</f>
        <v/>
      </c>
    </row>
    <row r="1205" spans="4:8" x14ac:dyDescent="0.25">
      <c r="D1205" s="55"/>
      <c r="H1205" s="55" t="str">
        <f ca="1">IFERROR(VLOOKUP(ROWS($H$3:H1205),E:F,2,0),"")</f>
        <v/>
      </c>
    </row>
    <row r="1206" spans="4:8" x14ac:dyDescent="0.25">
      <c r="D1206" s="55"/>
      <c r="H1206" s="55" t="str">
        <f ca="1">IFERROR(VLOOKUP(ROWS($H$3:H1206),E:F,2,0),"")</f>
        <v/>
      </c>
    </row>
    <row r="1207" spans="4:8" x14ac:dyDescent="0.25">
      <c r="D1207" s="55"/>
      <c r="H1207" s="55" t="str">
        <f ca="1">IFERROR(VLOOKUP(ROWS($H$3:H1207),E:F,2,0),"")</f>
        <v/>
      </c>
    </row>
    <row r="1208" spans="4:8" x14ac:dyDescent="0.25">
      <c r="D1208" s="55"/>
      <c r="H1208" s="55" t="str">
        <f ca="1">IFERROR(VLOOKUP(ROWS($H$3:H1208),E:F,2,0),"")</f>
        <v/>
      </c>
    </row>
    <row r="1209" spans="4:8" x14ac:dyDescent="0.25">
      <c r="D1209" s="55"/>
      <c r="H1209" s="55" t="str">
        <f ca="1">IFERROR(VLOOKUP(ROWS($H$3:H1209),E:F,2,0),"")</f>
        <v/>
      </c>
    </row>
    <row r="1210" spans="4:8" x14ac:dyDescent="0.25">
      <c r="D1210" s="55"/>
      <c r="H1210" s="55" t="str">
        <f ca="1">IFERROR(VLOOKUP(ROWS($H$3:H1210),E:F,2,0),"")</f>
        <v/>
      </c>
    </row>
    <row r="1211" spans="4:8" x14ac:dyDescent="0.25">
      <c r="D1211" s="55"/>
      <c r="H1211" s="55" t="str">
        <f ca="1">IFERROR(VLOOKUP(ROWS($H$3:H1211),E:F,2,0),"")</f>
        <v/>
      </c>
    </row>
    <row r="1212" spans="4:8" x14ac:dyDescent="0.25">
      <c r="D1212" s="55"/>
      <c r="H1212" s="55" t="str">
        <f ca="1">IFERROR(VLOOKUP(ROWS($H$3:H1212),E:F,2,0),"")</f>
        <v/>
      </c>
    </row>
    <row r="1213" spans="4:8" x14ac:dyDescent="0.25">
      <c r="D1213" s="55"/>
      <c r="H1213" s="55" t="str">
        <f ca="1">IFERROR(VLOOKUP(ROWS($H$3:H1213),E:F,2,0),"")</f>
        <v/>
      </c>
    </row>
    <row r="1214" spans="4:8" x14ac:dyDescent="0.25">
      <c r="D1214" s="55"/>
      <c r="H1214" s="55" t="str">
        <f ca="1">IFERROR(VLOOKUP(ROWS($H$3:H1214),E:F,2,0),"")</f>
        <v/>
      </c>
    </row>
    <row r="1215" spans="4:8" x14ac:dyDescent="0.25">
      <c r="D1215" s="55"/>
      <c r="H1215" s="55" t="str">
        <f ca="1">IFERROR(VLOOKUP(ROWS($H$3:H1215),E:F,2,0),"")</f>
        <v/>
      </c>
    </row>
    <row r="1216" spans="4:8" x14ac:dyDescent="0.25">
      <c r="D1216" s="55"/>
      <c r="H1216" s="55" t="str">
        <f ca="1">IFERROR(VLOOKUP(ROWS($H$3:H1216),E:F,2,0),"")</f>
        <v/>
      </c>
    </row>
    <row r="1217" spans="4:8" x14ac:dyDescent="0.25">
      <c r="D1217" s="55"/>
      <c r="H1217" s="55" t="str">
        <f ca="1">IFERROR(VLOOKUP(ROWS($H$3:H1217),E:F,2,0),"")</f>
        <v/>
      </c>
    </row>
    <row r="1218" spans="4:8" x14ac:dyDescent="0.25">
      <c r="D1218" s="55"/>
      <c r="H1218" s="55" t="str">
        <f ca="1">IFERROR(VLOOKUP(ROWS($H$3:H1218),E:F,2,0),"")</f>
        <v/>
      </c>
    </row>
    <row r="1219" spans="4:8" x14ac:dyDescent="0.25">
      <c r="D1219" s="55"/>
    </row>
    <row r="1220" spans="4:8" x14ac:dyDescent="0.25">
      <c r="D1220" s="55"/>
    </row>
    <row r="1221" spans="4:8" x14ac:dyDescent="0.25">
      <c r="D1221" s="55"/>
    </row>
    <row r="1222" spans="4:8" x14ac:dyDescent="0.25">
      <c r="D1222" s="55"/>
    </row>
    <row r="1223" spans="4:8" x14ac:dyDescent="0.25">
      <c r="D1223" s="55"/>
    </row>
    <row r="1224" spans="4:8" x14ac:dyDescent="0.25">
      <c r="D1224" s="55"/>
    </row>
  </sheetData>
  <conditionalFormatting sqref="B2:B1136">
    <cfRule type="duplicateValues" dxfId="9" priority="2"/>
  </conditionalFormatting>
  <conditionalFormatting sqref="F3:G1136">
    <cfRule type="duplicateValues" dxfId="8" priority="1"/>
  </conditionalFormatting>
  <dataValidations count="1">
    <dataValidation type="list" allowBlank="1" showInputMessage="1" showErrorMessage="1" sqref="I1:I2">
      <formula1>RCA_List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DV</vt:lpstr>
      <vt:lpstr>RCA</vt:lpstr>
      <vt:lpstr>Administrative_Financial_and_Management_Service</vt:lpstr>
      <vt:lpstr>dropdown</vt:lpstr>
      <vt:lpstr>Fakelist</vt:lpstr>
      <vt:lpstr>Legal_Service</vt:lpstr>
      <vt:lpstr>Local_Fiscal_Policy_Service</vt:lpstr>
      <vt:lpstr>Local_Government_Units_Operations_Service</vt:lpstr>
      <vt:lpstr>DV!Print_Area</vt:lpstr>
      <vt:lpstr>RespCtr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</dc:creator>
  <cp:lastModifiedBy>Jo Ann</cp:lastModifiedBy>
  <cp:lastPrinted>2016-01-04T02:43:25Z</cp:lastPrinted>
  <dcterms:created xsi:type="dcterms:W3CDTF">2001-10-16T16:03:12Z</dcterms:created>
  <dcterms:modified xsi:type="dcterms:W3CDTF">2016-01-27T08:39:26Z</dcterms:modified>
</cp:coreProperties>
</file>